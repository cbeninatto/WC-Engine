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Dashboard" sheetId="1" state="visible" r:id="rId3"/>
    <sheet name="Teams_Master" sheetId="2" state="visible" r:id="rId4"/>
    <sheet name="Form_L20" sheetId="3" state="visible" r:id="rId5"/>
    <sheet name="Squad_History" sheetId="4" state="visible" r:id="rId6"/>
    <sheet name="Tactics" sheetId="5" state="visible" r:id="rId7"/>
    <sheet name="Goal_Sources" sheetId="6" state="visible" r:id="rId8"/>
    <sheet name="Goal_Timing" sheetId="7" state="visible" r:id="rId9"/>
    <sheet name="Group_Standings" sheetId="8" state="visible" r:id="rId10"/>
    <sheet name="Knockout_Sim" sheetId="9" state="visible" r:id="rId11"/>
    <sheet name="Prediction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<sst xmlns="http://schemas.openxmlformats.org/spreadsheetml/2006/main" count="2083" uniqueCount="581">
  <si>
    <t xml:space="preserve">WORLD CUP 2026 — PREDICTION TOOL</t>
  </si>
  <si>
    <t xml:space="preserve">Input team data → engine predicts every match  •  48 nations  •  Jun 11 – Jul 19, 2026</t>
  </si>
  <si>
    <t xml:space="preserve">HOW THIS WORKBOOK WORKS</t>
  </si>
  <si>
    <t xml:space="preserve">1.</t>
  </si>
  <si>
    <t xml:space="preserve">Fill in the BLUE cells across tabs 2-6 with the data you have for each team.</t>
  </si>
  <si>
    <t xml:space="preserve">2.</t>
  </si>
  <si>
    <t xml:space="preserve">GREY cells are locked formulas. They update automatically — don't edit them.</t>
  </si>
  <si>
    <t xml:space="preserve">3.</t>
  </si>
  <si>
    <t xml:space="preserve">Default placeholder values are pre-filled so the engine runs out of the box.</t>
  </si>
  <si>
    <t xml:space="preserve">4.</t>
  </si>
  <si>
    <t xml:space="preserve">Open the Predictions tab to see all 72 group-stage forecasts updating live.</t>
  </si>
  <si>
    <t xml:space="preserve">5.</t>
  </si>
  <si>
    <t xml:space="preserve">Override any specific prediction in the rightmost column if you disagree with the model.</t>
  </si>
  <si>
    <t xml:space="preserve">COLOR KEY</t>
  </si>
  <si>
    <t xml:space="preserve">1.23</t>
  </si>
  <si>
    <t xml:space="preserve">BLUE on light blue</t>
  </si>
  <si>
    <t xml:space="preserve">Your inputs — edit these</t>
  </si>
  <si>
    <t xml:space="preserve">BLACK on grey</t>
  </si>
  <si>
    <t xml:space="preserve">Same-sheet locked formulas</t>
  </si>
  <si>
    <t xml:space="preserve">GREEN on grey</t>
  </si>
  <si>
    <t xml:space="preserve">Cross-sheet link (Predictions tab)</t>
  </si>
  <si>
    <t xml:space="preserve">WORKBOOK MAP</t>
  </si>
  <si>
    <t xml:space="preserve">📋  All 48 teams (reference)</t>
  </si>
  <si>
    <t xml:space="preserve">Reference</t>
  </si>
  <si>
    <t xml:space="preserve">📊  Recent Form (Last 20)</t>
  </si>
  <si>
    <t xml:space="preserve">INPUTS</t>
  </si>
  <si>
    <t xml:space="preserve">👥  Squad &amp; Tournament DNA</t>
  </si>
  <si>
    <t xml:space="preserve">⚽  Tactical Mapping</t>
  </si>
  <si>
    <t xml:space="preserve">🎯  Goal Source Analysis</t>
  </si>
  <si>
    <t xml:space="preserve">⏱  Goal Timing (15-min)</t>
  </si>
  <si>
    <t xml:space="preserve">🏆  PREDICTION ENGINE</t>
  </si>
  <si>
    <t xml:space="preserve">OUTPUT — all 72 matches</t>
  </si>
  <si>
    <t xml:space="preserve">KEY DATES</t>
  </si>
  <si>
    <t xml:space="preserve">June 12, 2026</t>
  </si>
  <si>
    <t xml:space="preserve">⚠ SQUAD REVIEW ALERT — Integrate final 26-man squad lists (FIFA deadline May 30)</t>
  </si>
  <si>
    <t xml:space="preserve">June 11, 2026</t>
  </si>
  <si>
    <t xml:space="preserve">Tournament opens: Mexico vs South Africa, Estadio Azteca</t>
  </si>
  <si>
    <t xml:space="preserve">Canada vs Bosnia &amp; Herzegovina; USA vs Paraguay</t>
  </si>
  <si>
    <t xml:space="preserve">June 26-27, 2026</t>
  </si>
  <si>
    <t xml:space="preserve">Group stage ends; Round of 32 begins</t>
  </si>
  <si>
    <t xml:space="preserve">July 19, 2026</t>
  </si>
  <si>
    <t xml:space="preserve">Final — MetLife Stadium, East Rutherford NJ</t>
  </si>
  <si>
    <t xml:space="preserve">TEAMS MASTER LIST</t>
  </si>
  <si>
    <t xml:space="preserve">All 48 nations — reference data (locked)</t>
  </si>
  <si>
    <t xml:space="preserve">🟦 BLUE cells = your inputs (edit these)    ◾ GREY cells = locked formulas (don't edit)</t>
  </si>
  <si>
    <t xml:space="preserve">#</t>
  </si>
  <si>
    <t xml:space="preserve">Team</t>
  </si>
  <si>
    <t xml:space="preserve">Confederation</t>
  </si>
  <si>
    <t xml:space="preserve">Group</t>
  </si>
  <si>
    <t xml:space="preserve">Pot</t>
  </si>
  <si>
    <t xml:space="preserve">FIFA Rank (Apr '26)</t>
  </si>
  <si>
    <t xml:space="preserve">WC Apps</t>
  </si>
  <si>
    <t xml:space="preserve">Best Finish</t>
  </si>
  <si>
    <t xml:space="preserve">Mexico</t>
  </si>
  <si>
    <t xml:space="preserve">CONCACAF</t>
  </si>
  <si>
    <t xml:space="preserve">A</t>
  </si>
  <si>
    <t xml:space="preserve">QF (1970, 1986)</t>
  </si>
  <si>
    <t xml:space="preserve">South Korea</t>
  </si>
  <si>
    <t xml:space="preserve">AFC</t>
  </si>
  <si>
    <t xml:space="preserve">4th (2002)</t>
  </si>
  <si>
    <t xml:space="preserve">South Africa</t>
  </si>
  <si>
    <t xml:space="preserve">CAF</t>
  </si>
  <si>
    <t xml:space="preserve">Group (Host 2010)</t>
  </si>
  <si>
    <t xml:space="preserve">Czechia</t>
  </si>
  <si>
    <t xml:space="preserve">UEFA</t>
  </si>
  <si>
    <t xml:space="preserve">Runner-up (1934, 1962)</t>
  </si>
  <si>
    <t xml:space="preserve">Canada</t>
  </si>
  <si>
    <t xml:space="preserve">B</t>
  </si>
  <si>
    <t xml:space="preserve">Group (1986, 2022)</t>
  </si>
  <si>
    <t xml:space="preserve">Switzerland</t>
  </si>
  <si>
    <t xml:space="preserve">QF (1934, 1938, 1954)</t>
  </si>
  <si>
    <t xml:space="preserve">Qatar</t>
  </si>
  <si>
    <t xml:space="preserve">Group (2022)</t>
  </si>
  <si>
    <t xml:space="preserve">Bosnia and Herzegovina</t>
  </si>
  <si>
    <t xml:space="preserve">Group (2014)</t>
  </si>
  <si>
    <t xml:space="preserve">Brazil</t>
  </si>
  <si>
    <t xml:space="preserve">CONMEBOL</t>
  </si>
  <si>
    <t xml:space="preserve">C</t>
  </si>
  <si>
    <t xml:space="preserve">Champion (1958-2002 x5)</t>
  </si>
  <si>
    <t xml:space="preserve">Morocco</t>
  </si>
  <si>
    <t xml:space="preserve">4th (2022)</t>
  </si>
  <si>
    <t xml:space="preserve">Scotland</t>
  </si>
  <si>
    <t xml:space="preserve">Haiti</t>
  </si>
  <si>
    <t xml:space="preserve">Group (1974)</t>
  </si>
  <si>
    <t xml:space="preserve">United States</t>
  </si>
  <si>
    <t xml:space="preserve">D</t>
  </si>
  <si>
    <t xml:space="preserve">3rd (1930)</t>
  </si>
  <si>
    <t xml:space="preserve">Paraguay</t>
  </si>
  <si>
    <t xml:space="preserve">QF (2010)</t>
  </si>
  <si>
    <t xml:space="preserve">Australia</t>
  </si>
  <si>
    <t xml:space="preserve">R16 (2006, 2022)</t>
  </si>
  <si>
    <t xml:space="preserve">Türkiye</t>
  </si>
  <si>
    <t xml:space="preserve">3rd (2002)</t>
  </si>
  <si>
    <t xml:space="preserve">Germany</t>
  </si>
  <si>
    <t xml:space="preserve">E</t>
  </si>
  <si>
    <t xml:space="preserve">Champion (1954, 1974, 1990, 2014)</t>
  </si>
  <si>
    <t xml:space="preserve">Ecuador</t>
  </si>
  <si>
    <t xml:space="preserve">R16 (2006)</t>
  </si>
  <si>
    <t xml:space="preserve">Ivory Coast</t>
  </si>
  <si>
    <t xml:space="preserve">Curaçao</t>
  </si>
  <si>
    <t xml:space="preserve">Debut</t>
  </si>
  <si>
    <t xml:space="preserve">Netherlands</t>
  </si>
  <si>
    <t xml:space="preserve">F</t>
  </si>
  <si>
    <t xml:space="preserve">Runner-up (1974, 1978, 2010)</t>
  </si>
  <si>
    <t xml:space="preserve">Japan</t>
  </si>
  <si>
    <t xml:space="preserve">R16 (2002, 2010, 2018, 2022)</t>
  </si>
  <si>
    <t xml:space="preserve">Tunisia</t>
  </si>
  <si>
    <t xml:space="preserve">Sweden</t>
  </si>
  <si>
    <t xml:space="preserve">Runner-up (1958)</t>
  </si>
  <si>
    <t xml:space="preserve">Belgium</t>
  </si>
  <si>
    <t xml:space="preserve">G</t>
  </si>
  <si>
    <t xml:space="preserve">3rd (2018)</t>
  </si>
  <si>
    <t xml:space="preserve">Iran</t>
  </si>
  <si>
    <t xml:space="preserve">Egypt</t>
  </si>
  <si>
    <t xml:space="preserve">New Zealand</t>
  </si>
  <si>
    <t xml:space="preserve">OFC</t>
  </si>
  <si>
    <t xml:space="preserve">Group (1982, 2010)</t>
  </si>
  <si>
    <t xml:space="preserve">Spain</t>
  </si>
  <si>
    <t xml:space="preserve">H</t>
  </si>
  <si>
    <t xml:space="preserve">Champion (2010)</t>
  </si>
  <si>
    <t xml:space="preserve">Uruguay</t>
  </si>
  <si>
    <t xml:space="preserve">Champion (1930, 1950)</t>
  </si>
  <si>
    <t xml:space="preserve">Saudi Arabia</t>
  </si>
  <si>
    <t xml:space="preserve">R16 (1994)</t>
  </si>
  <si>
    <t xml:space="preserve">Cape Verde</t>
  </si>
  <si>
    <t xml:space="preserve">France</t>
  </si>
  <si>
    <t xml:space="preserve">I</t>
  </si>
  <si>
    <t xml:space="preserve">Champion (1998, 2018)</t>
  </si>
  <si>
    <t xml:space="preserve">Senegal</t>
  </si>
  <si>
    <t xml:space="preserve">QF (2002)</t>
  </si>
  <si>
    <t xml:space="preserve">Norway</t>
  </si>
  <si>
    <t xml:space="preserve">R16 (1998)</t>
  </si>
  <si>
    <t xml:space="preserve">Iraq</t>
  </si>
  <si>
    <t xml:space="preserve">Group (1986)</t>
  </si>
  <si>
    <t xml:space="preserve">Argentina</t>
  </si>
  <si>
    <t xml:space="preserve">J</t>
  </si>
  <si>
    <t xml:space="preserve">Champion (1978, 1986, 2022)</t>
  </si>
  <si>
    <t xml:space="preserve">Austria</t>
  </si>
  <si>
    <t xml:space="preserve">3rd (1954)</t>
  </si>
  <si>
    <t xml:space="preserve">Algeria</t>
  </si>
  <si>
    <t xml:space="preserve">R16 (2014)</t>
  </si>
  <si>
    <t xml:space="preserve">Jordan</t>
  </si>
  <si>
    <t xml:space="preserve">Portugal</t>
  </si>
  <si>
    <t xml:space="preserve">K</t>
  </si>
  <si>
    <t xml:space="preserve">3rd (1966)</t>
  </si>
  <si>
    <t xml:space="preserve">Colombia</t>
  </si>
  <si>
    <t xml:space="preserve">QF (2014)</t>
  </si>
  <si>
    <t xml:space="preserve">Uzbekistan</t>
  </si>
  <si>
    <t xml:space="preserve">DR Congo</t>
  </si>
  <si>
    <t xml:space="preserve">England</t>
  </si>
  <si>
    <t xml:space="preserve">L</t>
  </si>
  <si>
    <t xml:space="preserve">Champion (1966)</t>
  </si>
  <si>
    <t xml:space="preserve">Croatia</t>
  </si>
  <si>
    <t xml:space="preserve">Runner-up (2018), 3rd (2022)</t>
  </si>
  <si>
    <t xml:space="preserve">Panama</t>
  </si>
  <si>
    <t xml:space="preserve">Group (2018)</t>
  </si>
  <si>
    <t xml:space="preserve">Ghana</t>
  </si>
  <si>
    <t xml:space="preserve">RECENT FORM — Last 20 Official Matches</t>
  </si>
  <si>
    <t xml:space="preserve">🟦 Edit BLUE cells. Win %, Goal Diff, and Avg per Game recalculate automatically.</t>
  </si>
  <si>
    <t xml:space="preserve">Confed.</t>
  </si>
  <si>
    <t xml:space="preserve">Played</t>
  </si>
  <si>
    <t xml:space="preserve">Wins</t>
  </si>
  <si>
    <t xml:space="preserve">Draws</t>
  </si>
  <si>
    <t xml:space="preserve">Losses</t>
  </si>
  <si>
    <t xml:space="preserve">Win %</t>
  </si>
  <si>
    <t xml:space="preserve">GF</t>
  </si>
  <si>
    <t xml:space="preserve">GA</t>
  </si>
  <si>
    <t xml:space="preserve">Goal Diff</t>
  </si>
  <si>
    <t xml:space="preserve">Avg GF/G</t>
  </si>
  <si>
    <t xml:space="preserve">Avg GA/G</t>
  </si>
  <si>
    <t xml:space="preserve">Clean Sheets</t>
  </si>
  <si>
    <t xml:space="preserve">Failed to Score</t>
  </si>
  <si>
    <t xml:space="preserve">SoS ×</t>
  </si>
  <si>
    <t xml:space="preserve">PPG/3</t>
  </si>
  <si>
    <t xml:space="preserve">Copa/NL/GoldCup base + 10 Tier-1 friendlies (draw-heavy: D Japan/SK/Ecuador/Uruguay/Portugal/Belgium; L Colombia 0-4 &amp; Paraguay; W Ghana/Australia). Friendly slump visible.</t>
  </si>
  <si>
    <t xml:space="preserve">AFC quals (7-1-2) + Tier-1 friendlies: W USA 2-0, D Mexico 2-2, L Brazil 0-5, W Paraguay, W Ghana. Brazil thrashing = reality check.</t>
  </si>
  <si>
    <t xml:space="preserve">CONCACAF/NL base + Copa America 2024 SEMIFINALIST (lost Argentina SF). SoS lifted for proven strong-opposition run.</t>
  </si>
  <si>
    <t xml:space="preserve">Copa/NL/GoldCup base + 10 Tier-1 friendlies (W Japan/Australia/Paraguay/Uruguay/Senegal; L S.Korea/Belgium/Portugal/Germany; D Ecuador). Honest mid-tier.</t>
  </si>
  <si>
    <t xml:space="preserve">CONMEBOL quals + Copa America 2024 REALITY CHECK: lost all 3 group games (vs Colombia, Brazil, Costa Rica). Weaker than qualifying implied.</t>
  </si>
  <si>
    <t xml:space="preserve">AFC quals (7-2-1, 30/3) + Tier-1 friendlies: W Germany 4-1, W Brazil 3-2, D Mexico, D Paraguay, W Ghana, L USA. SoS lifted: proved vs elite.</t>
  </si>
  <si>
    <t xml:space="preserve">Level-adjusted: raw OFC qualifying was 5-0-0, 29 GF/1 GA vs Pacific minnows — non-predictive at WC level</t>
  </si>
  <si>
    <t xml:space="preserve">CONMEBOL quals + Copa America 2024 THIRD PLACE (beat Brazil on pens QF, lost Colombia SF). Strong, defensive.</t>
  </si>
  <si>
    <t xml:space="preserve">Qual 8-0-0 (incl 2x Italy) BUT padded by 11-1 Moldova. Strong-opp overlay: L Netherlands, D Switzerland, D Morocco, L Austria 1-5, W Austria. Perfect record didn't hold up.</t>
  </si>
  <si>
    <t xml:space="preserve">Qual 6-1-1 VALIDATED: Euro 2024 GROUP WINNERS over France &amp; Netherlands, beat Norway 5-1. High rating earned, not an artifact.</t>
  </si>
  <si>
    <t xml:space="preserve">CONMEBOL quals + Copa America 2024 RUNNERS-UP (4-1-1: beat Uruguay SF, lost final to Argentina 0-1 ET; 28-game unbeaten run).</t>
  </si>
  <si>
    <t xml:space="preserve">SQUAD DYNAMICS &amp; TOURNAMENT DNA</t>
  </si>
  <si>
    <t xml:space="preserve">🟦 Edit BLUE cells. Update after FIFA squad deadline (May 30).</t>
  </si>
  <si>
    <t xml:space="preserve">Star Player</t>
  </si>
  <si>
    <t xml:space="preserve">Pos</t>
  </si>
  <si>
    <t xml:space="preserve">Qual Goals</t>
  </si>
  <si>
    <t xml:space="preserve">Qual Assists</t>
  </si>
  <si>
    <t xml:space="preserve">Key Player 2</t>
  </si>
  <si>
    <t xml:space="preserve">Key Player 3</t>
  </si>
  <si>
    <t xml:space="preserve">Avg Age</t>
  </si>
  <si>
    <t xml:space="preserve">WC Apps (ref)</t>
  </si>
  <si>
    <t xml:space="preserve">Best Finish (ref)</t>
  </si>
  <si>
    <t xml:space="preserve">Edson Álvarez</t>
  </si>
  <si>
    <t xml:space="preserve">DM</t>
  </si>
  <si>
    <t xml:space="preserve">Santiago Giménez</t>
  </si>
  <si>
    <t xml:space="preserve">Hirving Lozano</t>
  </si>
  <si>
    <t xml:space="preserve">Son Heung-min</t>
  </si>
  <si>
    <t xml:space="preserve">LW</t>
  </si>
  <si>
    <t xml:space="preserve">Kim Min-jae</t>
  </si>
  <si>
    <t xml:space="preserve">Lee Kang-in</t>
  </si>
  <si>
    <t xml:space="preserve">Percy Tau</t>
  </si>
  <si>
    <t xml:space="preserve">AM</t>
  </si>
  <si>
    <t xml:space="preserve">Themba Zwane</t>
  </si>
  <si>
    <t xml:space="preserve">Ronwen Williams</t>
  </si>
  <si>
    <t xml:space="preserve">Patrik Schick</t>
  </si>
  <si>
    <t xml:space="preserve">ST</t>
  </si>
  <si>
    <t xml:space="preserve">Tomáš Souček</t>
  </si>
  <si>
    <t xml:space="preserve">Adam Hložek</t>
  </si>
  <si>
    <t xml:space="preserve">Alphonso Davies</t>
  </si>
  <si>
    <t xml:space="preserve">LB</t>
  </si>
  <si>
    <t xml:space="preserve">Jonathan David</t>
  </si>
  <si>
    <t xml:space="preserve">Stephen Eustáquio</t>
  </si>
  <si>
    <t xml:space="preserve">Granit Xhaka</t>
  </si>
  <si>
    <t xml:space="preserve">Manuel Akanji</t>
  </si>
  <si>
    <t xml:space="preserve">Breel Embolo</t>
  </si>
  <si>
    <t xml:space="preserve">Akram Afif</t>
  </si>
  <si>
    <t xml:space="preserve">Almoez Ali</t>
  </si>
  <si>
    <t xml:space="preserve">Hassan Al-Haydos</t>
  </si>
  <si>
    <t xml:space="preserve">Edin Džeko</t>
  </si>
  <si>
    <t xml:space="preserve">Miralem Pjanić</t>
  </si>
  <si>
    <t xml:space="preserve">Sead Kolašinac</t>
  </si>
  <si>
    <t xml:space="preserve">Vinícius Júnior</t>
  </si>
  <si>
    <t xml:space="preserve">Rodrygo</t>
  </si>
  <si>
    <t xml:space="preserve">Casemiro</t>
  </si>
  <si>
    <t xml:space="preserve">Achraf Hakimi</t>
  </si>
  <si>
    <t xml:space="preserve">RB</t>
  </si>
  <si>
    <t xml:space="preserve">Hakim Ziyech</t>
  </si>
  <si>
    <t xml:space="preserve">Sofyan Amrabat</t>
  </si>
  <si>
    <t xml:space="preserve">Scott McTominay</t>
  </si>
  <si>
    <t xml:space="preserve">CM</t>
  </si>
  <si>
    <t xml:space="preserve">Andy Robertson</t>
  </si>
  <si>
    <t xml:space="preserve">John McGinn</t>
  </si>
  <si>
    <t xml:space="preserve">Duckens Nazon</t>
  </si>
  <si>
    <t xml:space="preserve">Frantzdy Pierrot</t>
  </si>
  <si>
    <t xml:space="preserve">Carlens Arcus</t>
  </si>
  <si>
    <t xml:space="preserve">Christian Pulisic</t>
  </si>
  <si>
    <t xml:space="preserve">Weston McKennie</t>
  </si>
  <si>
    <t xml:space="preserve">Tyler Adams</t>
  </si>
  <si>
    <t xml:space="preserve">Miguel Almirón</t>
  </si>
  <si>
    <t xml:space="preserve">RW</t>
  </si>
  <si>
    <t xml:space="preserve">Antonio Sanabria</t>
  </si>
  <si>
    <t xml:space="preserve">Gustavo Gómez</t>
  </si>
  <si>
    <t xml:space="preserve">Mat Ryan</t>
  </si>
  <si>
    <t xml:space="preserve">GK</t>
  </si>
  <si>
    <t xml:space="preserve">Jackson Irvine</t>
  </si>
  <si>
    <t xml:space="preserve">Mitchell Duke</t>
  </si>
  <si>
    <t xml:space="preserve">Arda Güler</t>
  </si>
  <si>
    <t xml:space="preserve">Hakan Çalhanoğlu</t>
  </si>
  <si>
    <t xml:space="preserve">Kenan Yıldız</t>
  </si>
  <si>
    <t xml:space="preserve">Florian Wirtz</t>
  </si>
  <si>
    <t xml:space="preserve">Jamal Musiala</t>
  </si>
  <si>
    <t xml:space="preserve">Kai Havertz</t>
  </si>
  <si>
    <t xml:space="preserve">Moisés Caicedo</t>
  </si>
  <si>
    <t xml:space="preserve">Enner Valencia</t>
  </si>
  <si>
    <t xml:space="preserve">Pervis Estupiñán</t>
  </si>
  <si>
    <t xml:space="preserve">Sébastien Haller</t>
  </si>
  <si>
    <t xml:space="preserve">Franck Kessié</t>
  </si>
  <si>
    <t xml:space="preserve">Simon Adingra</t>
  </si>
  <si>
    <t xml:space="preserve">Leandro Bacuna</t>
  </si>
  <si>
    <t xml:space="preserve">Juninho Bacuna</t>
  </si>
  <si>
    <t xml:space="preserve">Eloy Room</t>
  </si>
  <si>
    <t xml:space="preserve">Cody Gakpo</t>
  </si>
  <si>
    <t xml:space="preserve">Frenkie de Jong</t>
  </si>
  <si>
    <t xml:space="preserve">Virgil van Dijk</t>
  </si>
  <si>
    <t xml:space="preserve">Takefusa Kubo</t>
  </si>
  <si>
    <t xml:space="preserve">Wataru Endō</t>
  </si>
  <si>
    <t xml:space="preserve">Kaoru Mitoma</t>
  </si>
  <si>
    <t xml:space="preserve">Hannibal Mejbri</t>
  </si>
  <si>
    <t xml:space="preserve">Wahbi Khazri</t>
  </si>
  <si>
    <t xml:space="preserve">Ellyes Skhiri</t>
  </si>
  <si>
    <t xml:space="preserve">Alexander Isak</t>
  </si>
  <si>
    <t xml:space="preserve">Viktor Gyökeres</t>
  </si>
  <si>
    <t xml:space="preserve">Anthony Elanga</t>
  </si>
  <si>
    <t xml:space="preserve">Kevin De Bruyne</t>
  </si>
  <si>
    <t xml:space="preserve">Romelu Lukaku</t>
  </si>
  <si>
    <t xml:space="preserve">Jérémy Doku</t>
  </si>
  <si>
    <t xml:space="preserve">Mehdi Taremi</t>
  </si>
  <si>
    <t xml:space="preserve">Sardar Azmoun</t>
  </si>
  <si>
    <t xml:space="preserve">Alireza Jahanbakhsh</t>
  </si>
  <si>
    <t xml:space="preserve">Mohamed Salah</t>
  </si>
  <si>
    <t xml:space="preserve">Omar Marmoush</t>
  </si>
  <si>
    <t xml:space="preserve">Mohamed Elneny</t>
  </si>
  <si>
    <t xml:space="preserve">Chris Wood</t>
  </si>
  <si>
    <t xml:space="preserve">Marko Stamenić</t>
  </si>
  <si>
    <t xml:space="preserve">Sarpreet Singh</t>
  </si>
  <si>
    <t xml:space="preserve">Lamine Yamal</t>
  </si>
  <si>
    <t xml:space="preserve">Pedri</t>
  </si>
  <si>
    <t xml:space="preserve">Rodri</t>
  </si>
  <si>
    <t xml:space="preserve">Federico Valverde</t>
  </si>
  <si>
    <t xml:space="preserve">Darwin Núñez</t>
  </si>
  <si>
    <t xml:space="preserve">Ronald Araújo</t>
  </si>
  <si>
    <t xml:space="preserve">Salem Al-Dawsari</t>
  </si>
  <si>
    <t xml:space="preserve">Mohamed Kanno</t>
  </si>
  <si>
    <t xml:space="preserve">Salman Al-Faraj</t>
  </si>
  <si>
    <t xml:space="preserve">Ryan Mendes</t>
  </si>
  <si>
    <t xml:space="preserve">Bebé</t>
  </si>
  <si>
    <t xml:space="preserve">Ze Luis</t>
  </si>
  <si>
    <t xml:space="preserve">Kylian Mbappé</t>
  </si>
  <si>
    <t xml:space="preserve">Tchouaméni</t>
  </si>
  <si>
    <t xml:space="preserve">Griezmann</t>
  </si>
  <si>
    <t xml:space="preserve">Sadio Mané</t>
  </si>
  <si>
    <t xml:space="preserve">Édouard Mendy</t>
  </si>
  <si>
    <t xml:space="preserve">Kalidou Koulibaly</t>
  </si>
  <si>
    <t xml:space="preserve">Erling Haaland</t>
  </si>
  <si>
    <t xml:space="preserve">Martin Ødegaard</t>
  </si>
  <si>
    <t xml:space="preserve">Alexander Sørloth</t>
  </si>
  <si>
    <t xml:space="preserve">Aymen Hussein</t>
  </si>
  <si>
    <t xml:space="preserve">Ali Al-Hamadi</t>
  </si>
  <si>
    <t xml:space="preserve">Ibrahim Bayesh</t>
  </si>
  <si>
    <t xml:space="preserve">Lionel Messi</t>
  </si>
  <si>
    <t xml:space="preserve">Lautaro Martínez</t>
  </si>
  <si>
    <t xml:space="preserve">Enzo Fernández</t>
  </si>
  <si>
    <t xml:space="preserve">Marcel Sabitzer</t>
  </si>
  <si>
    <t xml:space="preserve">David Alaba</t>
  </si>
  <si>
    <t xml:space="preserve">Marko Arnautović</t>
  </si>
  <si>
    <t xml:space="preserve">Riyad Mahrez</t>
  </si>
  <si>
    <t xml:space="preserve">Ismaël Bennacer</t>
  </si>
  <si>
    <t xml:space="preserve">Saïd Benrahma</t>
  </si>
  <si>
    <t xml:space="preserve">Mousa Al-Tamari</t>
  </si>
  <si>
    <t xml:space="preserve">Yazan Al-Naimat</t>
  </si>
  <si>
    <t xml:space="preserve">Nour Al-Rawabdeh</t>
  </si>
  <si>
    <t xml:space="preserve">Cristiano Ronaldo</t>
  </si>
  <si>
    <t xml:space="preserve">Bruno Fernandes</t>
  </si>
  <si>
    <t xml:space="preserve">Bernardo Silva</t>
  </si>
  <si>
    <t xml:space="preserve">James Rodríguez</t>
  </si>
  <si>
    <t xml:space="preserve">Luis Díaz</t>
  </si>
  <si>
    <t xml:space="preserve">Jhon Durán</t>
  </si>
  <si>
    <t xml:space="preserve">Abdukodir Khusanov</t>
  </si>
  <si>
    <t xml:space="preserve">CB</t>
  </si>
  <si>
    <t xml:space="preserve">Eldor Shomurodov</t>
  </si>
  <si>
    <t xml:space="preserve">Jaloliddin Masharipov</t>
  </si>
  <si>
    <t xml:space="preserve">Yoane Wissa</t>
  </si>
  <si>
    <t xml:space="preserve">Cédric Bakambu</t>
  </si>
  <si>
    <t xml:space="preserve">Chancel Mbemba</t>
  </si>
  <si>
    <t xml:space="preserve">Harry Kane</t>
  </si>
  <si>
    <t xml:space="preserve">Jude Bellingham</t>
  </si>
  <si>
    <t xml:space="preserve">Bukayo Saka</t>
  </si>
  <si>
    <t xml:space="preserve">Luka Modrić</t>
  </si>
  <si>
    <t xml:space="preserve">Mateo Kovačić</t>
  </si>
  <si>
    <t xml:space="preserve">Joško Gvardiol</t>
  </si>
  <si>
    <t xml:space="preserve">Aníbal Godoy</t>
  </si>
  <si>
    <t xml:space="preserve">Ismael Díaz</t>
  </si>
  <si>
    <t xml:space="preserve">José Fajardo</t>
  </si>
  <si>
    <t xml:space="preserve">Mohammed Kudus</t>
  </si>
  <si>
    <t xml:space="preserve">Thomas Partey</t>
  </si>
  <si>
    <t xml:space="preserve">Jordan Ayew</t>
  </si>
  <si>
    <t xml:space="preserve">⚠  SQUAD REVIEW ALERT — June 12, 2026</t>
  </si>
  <si>
    <t xml:space="preserve">FIFA 26-man squad deadline was May 30. Refresh the BLUE input cells with final selections.</t>
  </si>
  <si>
    <t xml:space="preserve">TACTICAL MAPPING — Styles &amp; Formations</t>
  </si>
  <si>
    <t xml:space="preserve">🟦 Edit BLUE cells. Pressing (1-10), Possession % and Pass Acc % feed the prediction engine.</t>
  </si>
  <si>
    <t xml:space="preserve">Formation</t>
  </si>
  <si>
    <t xml:space="preserve">Playing Style</t>
  </si>
  <si>
    <t xml:space="preserve">Build-up</t>
  </si>
  <si>
    <t xml:space="preserve">Defensive Block</t>
  </si>
  <si>
    <t xml:space="preserve">Pressing (1-10)</t>
  </si>
  <si>
    <t xml:space="preserve">Possession %</t>
  </si>
  <si>
    <t xml:space="preserve">Pass Acc. %</t>
  </si>
  <si>
    <t xml:space="preserve">Weakness vs</t>
  </si>
  <si>
    <t xml:space="preserve">Strength vs</t>
  </si>
  <si>
    <t xml:space="preserve">4-3-3</t>
  </si>
  <si>
    <t xml:space="preserve">Possession + Counter</t>
  </si>
  <si>
    <t xml:space="preserve">Mixed</t>
  </si>
  <si>
    <t xml:space="preserve">Mid block</t>
  </si>
  <si>
    <t xml:space="preserve">Aerial duels</t>
  </si>
  <si>
    <t xml:space="preserve">Quick combinations</t>
  </si>
  <si>
    <t xml:space="preserve">4-2-3-1</t>
  </si>
  <si>
    <t xml:space="preserve">Counter + Press</t>
  </si>
  <si>
    <t xml:space="preserve">Aerial dominance</t>
  </si>
  <si>
    <t xml:space="preserve">Pace on counter</t>
  </si>
  <si>
    <t xml:space="preserve">Possession</t>
  </si>
  <si>
    <t xml:space="preserve">Patient build-up</t>
  </si>
  <si>
    <t xml:space="preserve">Physical pressing</t>
  </si>
  <si>
    <t xml:space="preserve">Aerial</t>
  </si>
  <si>
    <t xml:space="preserve">Direct transitions</t>
  </si>
  <si>
    <t xml:space="preserve">High Press + Counter</t>
  </si>
  <si>
    <t xml:space="preserve">Mid-high block</t>
  </si>
  <si>
    <t xml:space="preserve">Possession press</t>
  </si>
  <si>
    <t xml:space="preserve">Athletic transitions</t>
  </si>
  <si>
    <t xml:space="preserve">Counter</t>
  </si>
  <si>
    <t xml:space="preserve">Direct build-up</t>
  </si>
  <si>
    <t xml:space="preserve">Mid-low block</t>
  </si>
  <si>
    <t xml:space="preserve">High press</t>
  </si>
  <si>
    <t xml:space="preserve">Defensive shape</t>
  </si>
  <si>
    <t xml:space="preserve">3-5-2</t>
  </si>
  <si>
    <t xml:space="preserve">Short build-up</t>
  </si>
  <si>
    <t xml:space="preserve">Physical duels</t>
  </si>
  <si>
    <t xml:space="preserve">Direct + Counter</t>
  </si>
  <si>
    <t xml:space="preserve">Direct</t>
  </si>
  <si>
    <t xml:space="preserve">Wide build-up</t>
  </si>
  <si>
    <t xml:space="preserve">Set-piece defense</t>
  </si>
  <si>
    <t xml:space="preserve">Physical teams</t>
  </si>
  <si>
    <t xml:space="preserve">4-3-3 / 5-4-1</t>
  </si>
  <si>
    <t xml:space="preserve">Low Block Counter</t>
  </si>
  <si>
    <t xml:space="preserve">Low block</t>
  </si>
  <si>
    <t xml:space="preserve">Patient breakdown</t>
  </si>
  <si>
    <t xml:space="preserve">3-4-2-1 / 3-5-2</t>
  </si>
  <si>
    <t xml:space="preserve">Direct + Press</t>
  </si>
  <si>
    <t xml:space="preserve">Set-piece threat</t>
  </si>
  <si>
    <t xml:space="preserve">Athletic counters</t>
  </si>
  <si>
    <t xml:space="preserve">High Press</t>
  </si>
  <si>
    <t xml:space="preserve">Athletic mobility</t>
  </si>
  <si>
    <t xml:space="preserve">4-4-2</t>
  </si>
  <si>
    <t xml:space="preserve">Physical defense</t>
  </si>
  <si>
    <t xml:space="preserve">Long build-up</t>
  </si>
  <si>
    <t xml:space="preserve">Compact mid-blocks</t>
  </si>
  <si>
    <t xml:space="preserve">Possession + Press</t>
  </si>
  <si>
    <t xml:space="preserve">Quick counter</t>
  </si>
  <si>
    <t xml:space="preserve">Compact low blocks</t>
  </si>
  <si>
    <t xml:space="preserve">Physical transitions</t>
  </si>
  <si>
    <t xml:space="preserve">Transition pace</t>
  </si>
  <si>
    <t xml:space="preserve">Compact defense</t>
  </si>
  <si>
    <t xml:space="preserve">Direct counter</t>
  </si>
  <si>
    <t xml:space="preserve">Press resistance</t>
  </si>
  <si>
    <t xml:space="preserve">3-4-3</t>
  </si>
  <si>
    <t xml:space="preserve">Wide overloads</t>
  </si>
  <si>
    <t xml:space="preserve">4-3-3 / 5-3-2</t>
  </si>
  <si>
    <t xml:space="preserve">Pace</t>
  </si>
  <si>
    <t xml:space="preserve">Set pieces</t>
  </si>
  <si>
    <t xml:space="preserve">Aerial physicality</t>
  </si>
  <si>
    <t xml:space="preserve">Direct counter-attack</t>
  </si>
  <si>
    <t xml:space="preserve">Patient build-up teams</t>
  </si>
  <si>
    <t xml:space="preserve">Width exploitation</t>
  </si>
  <si>
    <t xml:space="preserve">Transition speed</t>
  </si>
  <si>
    <t xml:space="preserve">Balanced Counter</t>
  </si>
  <si>
    <t xml:space="preserve">Mixed build-up</t>
  </si>
  <si>
    <t xml:space="preserve">Low blocks</t>
  </si>
  <si>
    <t xml:space="preserve">Erling-led attack</t>
  </si>
  <si>
    <t xml:space="preserve">4-4-2 / 4-3-3</t>
  </si>
  <si>
    <t xml:space="preserve">Direct + Possession</t>
  </si>
  <si>
    <t xml:space="preserve">Open-game teams</t>
  </si>
  <si>
    <t xml:space="preserve">Quick verticality</t>
  </si>
  <si>
    <t xml:space="preserve">Wide attacks</t>
  </si>
  <si>
    <t xml:space="preserve">Defensive solidity</t>
  </si>
  <si>
    <t xml:space="preserve">Transition defense</t>
  </si>
  <si>
    <t xml:space="preserve">Tactical discipline</t>
  </si>
  <si>
    <t xml:space="preserve">Direct verticality</t>
  </si>
  <si>
    <t xml:space="preserve">GOAL SOURCE ANALYSIS — Offensive &amp; Defensive</t>
  </si>
  <si>
    <t xml:space="preserve">🟦 Edit BLUE % cells. The 'Total' column should add to ~100%. Heat-mapped per source.</t>
  </si>
  <si>
    <t xml:space="preserve">Team Reference</t>
  </si>
  <si>
    <t xml:space="preserve">OFFENSIVE — Where their goals come from (%)</t>
  </si>
  <si>
    <t xml:space="preserve">Σ</t>
  </si>
  <si>
    <t xml:space="preserve">DEFENSIVE — Where their conceded goals come from (%)</t>
  </si>
  <si>
    <t xml:space="preserve">Open Play</t>
  </si>
  <si>
    <t xml:space="preserve">Corners</t>
  </si>
  <si>
    <t xml:space="preserve">Free Kicks</t>
  </si>
  <si>
    <t xml:space="preserve">Penalties</t>
  </si>
  <si>
    <t xml:space="preserve">Other SP</t>
  </si>
  <si>
    <t xml:space="preserve">Total</t>
  </si>
  <si>
    <t xml:space="preserve">Other</t>
  </si>
  <si>
    <t xml:space="preserve">GOAL TIMING &amp; MATCH FLOW — 15-Min Intervals</t>
  </si>
  <si>
    <t xml:space="preserve">🟦 Edit BLUE % cells. Peak Scoring / Vulnerability windows compute automatically.</t>
  </si>
  <si>
    <t xml:space="preserve">SCORED (%) — When they score</t>
  </si>
  <si>
    <t xml:space="preserve">CONCEDED (%) — When they concede</t>
  </si>
  <si>
    <t xml:space="preserve">Peak Windows (auto)</t>
  </si>
  <si>
    <t xml:space="preserve">0-15</t>
  </si>
  <si>
    <t xml:space="preserve">16-30</t>
  </si>
  <si>
    <t xml:space="preserve">31-45</t>
  </si>
  <si>
    <t xml:space="preserve">46-60</t>
  </si>
  <si>
    <t xml:space="preserve">61-75</t>
  </si>
  <si>
    <t xml:space="preserve">76-90</t>
  </si>
  <si>
    <t xml:space="preserve">Peak Scoring</t>
  </si>
  <si>
    <t xml:space="preserve">Peak Vulnerable</t>
  </si>
  <si>
    <t xml:space="preserve">PROJECTED GROUP STANDINGS — First Round (Group Stage)</t>
  </si>
  <si>
    <t xml:space="preserve">Expected points from all 72 predicted matches (3 played results locked). Top 2 per group + 8 best 3rd-place teams advance.</t>
  </si>
  <si>
    <t xml:space="preserve">GROUP A</t>
  </si>
  <si>
    <t xml:space="preserve">GROUP B</t>
  </si>
  <si>
    <t xml:space="preserve">xPts</t>
  </si>
  <si>
    <t xml:space="preserve">xGD</t>
  </si>
  <si>
    <t xml:space="preserve">Status</t>
  </si>
  <si>
    <t xml:space="preserve">Advance (1st/2nd)</t>
  </si>
  <si>
    <t xml:space="preserve">Advance (best 3rd)</t>
  </si>
  <si>
    <t xml:space="preserve">Eliminated</t>
  </si>
  <si>
    <t xml:space="preserve">GROUP C</t>
  </si>
  <si>
    <t xml:space="preserve">GROUP D</t>
  </si>
  <si>
    <t xml:space="preserve">GROUP E</t>
  </si>
  <si>
    <t xml:space="preserve">GROUP F</t>
  </si>
  <si>
    <t xml:space="preserve">GROUP G</t>
  </si>
  <si>
    <t xml:space="preserve">GROUP H</t>
  </si>
  <si>
    <t xml:space="preserve">GROUP I</t>
  </si>
  <si>
    <t xml:space="preserve">GROUP J</t>
  </si>
  <si>
    <t xml:space="preserve">GROUP K</t>
  </si>
  <si>
    <t xml:space="preserve">GROUP L</t>
  </si>
  <si>
    <t xml:space="preserve">8 BEST THIRD-PLACED TEAMS — also advance</t>
  </si>
  <si>
    <t xml:space="preserve">Rank</t>
  </si>
  <si>
    <t xml:space="preserve">KNOCKOUT SIMULATION — Round of 32 to the Final</t>
  </si>
  <si>
    <t xml:space="preserve">Same engine, draws split on penalties. Deterministic path below; Monte Carlo title odds (20,000 sims) at right.</t>
  </si>
  <si>
    <t xml:space="preserve">🏆  PROJECTED CHAMPION:  Spain        Final: Spain vs Austria  (3-2)        🥉 3rd: France</t>
  </si>
  <si>
    <t xml:space="preserve">ROUND OF 32</t>
  </si>
  <si>
    <t xml:space="preserve">MONTE CARLO TITLE ODDS (20,000 simulations)</t>
  </si>
  <si>
    <t xml:space="preserve">Match</t>
  </si>
  <si>
    <t xml:space="preserve">Team A</t>
  </si>
  <si>
    <t xml:space="preserve">Team B</t>
  </si>
  <si>
    <t xml:space="preserve">Score</t>
  </si>
  <si>
    <t xml:space="preserve">Winner</t>
  </si>
  <si>
    <t xml:space="preserve">Champion</t>
  </si>
  <si>
    <t xml:space="preserve">Finalist</t>
  </si>
  <si>
    <t xml:space="preserve">Semi</t>
  </si>
  <si>
    <t xml:space="preserve">M73</t>
  </si>
  <si>
    <t xml:space="preserve">1-2</t>
  </si>
  <si>
    <t xml:space="preserve">M74</t>
  </si>
  <si>
    <t xml:space="preserve">3-2 AET</t>
  </si>
  <si>
    <t xml:space="preserve">M75</t>
  </si>
  <si>
    <t xml:space="preserve">2-1</t>
  </si>
  <si>
    <t xml:space="preserve">M76</t>
  </si>
  <si>
    <t xml:space="preserve">M77</t>
  </si>
  <si>
    <t xml:space="preserve">M78</t>
  </si>
  <si>
    <t xml:space="preserve">M79</t>
  </si>
  <si>
    <t xml:space="preserve">M80</t>
  </si>
  <si>
    <t xml:space="preserve">2-0</t>
  </si>
  <si>
    <t xml:space="preserve">M81</t>
  </si>
  <si>
    <t xml:space="preserve">2-3</t>
  </si>
  <si>
    <t xml:space="preserve">M82</t>
  </si>
  <si>
    <t xml:space="preserve">M83</t>
  </si>
  <si>
    <t xml:space="preserve">2-1 AET</t>
  </si>
  <si>
    <t xml:space="preserve">M84</t>
  </si>
  <si>
    <t xml:space="preserve">M85</t>
  </si>
  <si>
    <t xml:space="preserve">M86</t>
  </si>
  <si>
    <t xml:space="preserve">M87</t>
  </si>
  <si>
    <t xml:space="preserve">M88</t>
  </si>
  <si>
    <t xml:space="preserve">ROUND OF 16</t>
  </si>
  <si>
    <t xml:space="preserve">M89</t>
  </si>
  <si>
    <t xml:space="preserve">M90</t>
  </si>
  <si>
    <t xml:space="preserve">M91</t>
  </si>
  <si>
    <t xml:space="preserve">M92</t>
  </si>
  <si>
    <t xml:space="preserve">M93</t>
  </si>
  <si>
    <t xml:space="preserve">M94</t>
  </si>
  <si>
    <t xml:space="preserve">2-3 AET</t>
  </si>
  <si>
    <t xml:space="preserve">M95</t>
  </si>
  <si>
    <t xml:space="preserve">M96</t>
  </si>
  <si>
    <t xml:space="preserve">QUARTERFINALS</t>
  </si>
  <si>
    <t xml:space="preserve">M97</t>
  </si>
  <si>
    <t xml:space="preserve">M98</t>
  </si>
  <si>
    <t xml:space="preserve">M99</t>
  </si>
  <si>
    <t xml:space="preserve">M100</t>
  </si>
  <si>
    <t xml:space="preserve">SEMIFINALS</t>
  </si>
  <si>
    <t xml:space="preserve">SF1</t>
  </si>
  <si>
    <t xml:space="preserve">SF2</t>
  </si>
  <si>
    <t xml:space="preserve">FINAL</t>
  </si>
  <si>
    <t xml:space="preserve">PREDICTION ENGINE — Every Group-Stage Match</t>
  </si>
  <si>
    <t xml:space="preserve">🟢 Green = cross-sheet pulls. ◾ Grey = computed. 🟦 Blue 'Your Pick' = your override.</t>
  </si>
  <si>
    <t xml:space="preserve">POWER = [ (Win%×40) + (Avg GD/game capped ±2 ×8) ] × Strength-of-Schedule + (PassAcc×0.3)+(Pressing×1.5).  SoS (Form_L20 col Q, editable): 11 broad-sample teams=1.00; CONMEBOL quals=1.10; UEFA quals=0.90; CAF/AFC/CONCACAF=0.82.</t>
  </si>
  <si>
    <t xml:space="preserve">🏆 PLACAR DO BOLÃO</t>
  </si>
  <si>
    <t xml:space="preserve">Match #</t>
  </si>
  <si>
    <t xml:space="preserve">Date</t>
  </si>
  <si>
    <t xml:space="preserve">Power A</t>
  </si>
  <si>
    <t xml:space="preserve">Power B</t>
  </si>
  <si>
    <t xml:space="preserve">Δ</t>
  </si>
  <si>
    <t xml:space="preserve">Win A %</t>
  </si>
  <si>
    <t xml:space="preserve">Draw %</t>
  </si>
  <si>
    <t xml:space="preserve">Win B %</t>
  </si>
  <si>
    <t xml:space="preserve">Pred. Score</t>
  </si>
  <si>
    <t xml:space="preserve">Pred. Result</t>
  </si>
  <si>
    <t xml:space="preserve">Confidence</t>
  </si>
  <si>
    <t xml:space="preserve">Your Pick</t>
  </si>
  <si>
    <t xml:space="preserve">Notes</t>
  </si>
  <si>
    <t xml:space="preserve">Gols Real A</t>
  </si>
  <si>
    <t xml:space="preserve">Gols Real B</t>
  </si>
  <si>
    <t xml:space="preserve">Resultado Real</t>
  </si>
  <si>
    <t xml:space="preserve">Categoria</t>
  </si>
  <si>
    <t xml:space="preserve">Pontos</t>
  </si>
  <si>
    <t xml:space="preserve">Jogos com resultado</t>
  </si>
  <si>
    <t xml:space="preserve">3 - 1</t>
  </si>
  <si>
    <t xml:space="preserve">Mexico win</t>
  </si>
  <si>
    <t xml:space="preserve">🔒 locked (played)</t>
  </si>
  <si>
    <t xml:space="preserve">PONTOS TOTAIS</t>
  </si>
  <si>
    <t xml:space="preserve">2 - 1</t>
  </si>
  <si>
    <t xml:space="preserve">South Korea win</t>
  </si>
  <si>
    <t xml:space="preserve">Média / jogo</t>
  </si>
  <si>
    <t xml:space="preserve">Canada win</t>
  </si>
  <si>
    <t xml:space="preserve">Cravadas (15)</t>
  </si>
  <si>
    <t xml:space="preserve">Vencedor+Saldo (9)</t>
  </si>
  <si>
    <t xml:space="preserve">Empates (8)</t>
  </si>
  <si>
    <t xml:space="preserve">Vencedor+Gols (7)</t>
  </si>
  <si>
    <t xml:space="preserve">Apenas Vencedor (5)</t>
  </si>
  <si>
    <t xml:space="preserve">Zerou (0)</t>
  </si>
  <si>
    <t xml:space="preserve">KNOCKOUT STAGE — Fill in once group standings finalize</t>
  </si>
  <si>
    <t xml:space="preserve">Round of 32 (16 matches) → R16 (8) → QF (4) → SF (2) → 3rd Place + Final  •  32 KO matches total. After Matchday 3, identify top 2 of each group + 8 best 3rd places, then add matchups here.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</si>
</sst>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General"/>
    <numFmt numFmtId="166" formatCode="0.0%"/>
    <numFmt numFmtId="167" formatCode="\+0;\-0;0"/>
    <numFmt numFmtId="168" formatCode="0.00"/>
    <numFmt numFmtId="169" formatCode="0.0"/>
    <numFmt numFmtId="170" formatCode="0\%"/>
    <numFmt numFmtId="171" formatCode="0.0\%"/>
    <numFmt numFmtId="172" formatCode="0"/>
    <numFmt numFmtId="173" formatCode="ddd&quot;, &quot;mmm\ d"/>
    <numFmt numFmtId="174" formatCode="\+0.0;\-0.0;0.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C9A227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u val="single"/>
      <sz val="11"/>
      <color rgb="FF1F3864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305496"/>
        <bgColor rgb="FF2E75B6"/>
      </patternFill>
    </fill>
    <fill>
      <patternFill patternType="solid">
        <fgColor rgb="FFC9A227"/>
        <bgColor rgb="FF99CC00"/>
      </patternFill>
    </fill>
    <fill>
      <patternFill patternType="solid">
        <fgColor rgb="FFF4F8FC"/>
        <bgColor rgb="FFF2F2F2"/>
      </patternFill>
    </fill>
    <fill>
      <patternFill patternType="solid">
        <fgColor rgb="FFEFEFEF"/>
        <bgColor rgb="FFEDEDED"/>
      </patternFill>
    </fill>
    <fill>
      <patternFill patternType="solid">
        <fgColor rgb="FFF2F2F2"/>
        <bgColor rgb="FFEFEFEF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305496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FEFEF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C00000"/>
        <bgColor rgb="FF9C0006"/>
      </patternFill>
    </fill>
    <fill>
      <patternFill patternType="solid">
        <fgColor rgb="FF548235"/>
        <bgColor rgb="FF555555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FFFF"/>
        <bgColor rgb="FFF4F8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7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28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8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9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9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7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33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3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CE4D6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63BE7B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7B7B7"/>
      <rgbColor rgb="FF888888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4F8FC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DED"/>
      <rgbColor rgb="FFFCE4D6"/>
      <rgbColor rgb="FFEFEFEF"/>
      <rgbColor rgb="FFFFC7CE"/>
      <rgbColor rgb="FF2E75B6"/>
      <rgbColor rgb="FF63BE7B"/>
      <rgbColor rgb="FF99CC00"/>
      <rgbColor rgb="FFFFCC00"/>
      <rgbColor rgb="FFC9A227"/>
      <rgbColor rgb="FFFF6600"/>
      <rgbColor rgb="FF555555"/>
      <rgbColor rgb="FF969696"/>
      <rgbColor rgb="FF1F3864"/>
      <rgbColor rgb="FF548235"/>
      <rgbColor rgb="FF0061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WorldCup2026_Analytics_Companion.xlsx" TargetMode="External"/><Relationship Id="rId2" Type="http://schemas.openxmlformats.org/officeDocument/2006/relationships/hyperlink" Target="WorldCup2026_Analytics_Companion.xlsx" TargetMode="External"/><Relationship Id="rId3" Type="http://schemas.openxmlformats.org/officeDocument/2006/relationships/hyperlink" Target="WorldCup2026_Analytics_Companion.xlsx" TargetMode="External"/><Relationship Id="rId4" Type="http://schemas.openxmlformats.org/officeDocument/2006/relationships/hyperlink" Target="WorldCup2026_Analytics_Companion.xlsx" TargetMode="External"/><Relationship Id="rId5" Type="http://schemas.openxmlformats.org/officeDocument/2006/relationships/hyperlink" Target="WorldCup2026_Analytics_Companion.xlsx" TargetMode="External"/><Relationship Id="rId6" Type="http://schemas.openxmlformats.org/officeDocument/2006/relationships/hyperlink" Target="WorldCup2026_Analytics_Companion.xlsx" TargetMode="External"/><Relationship Id="rId7" Type="http://schemas.openxmlformats.org/officeDocument/2006/relationships/hyperlink" Target="WorldCup2026_Analytics_Companion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22"/>
    <col collapsed="false" customWidth="true" hidden="false" outlineLevel="0" max="7" min="7" style="1" width="3"/>
  </cols>
  <sheetData>
    <row r="2" customFormat="false" ht="37.5" hidden="false" customHeight="true" outlineLevel="0" collapsed="false">
      <c r="B2" s="2" t="s">
        <v>0</v>
      </c>
      <c r="C2" s="2"/>
      <c r="D2" s="2"/>
      <c r="E2" s="2"/>
      <c r="F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</row>
    <row r="5" customFormat="false" ht="15" hidden="false" customHeight="true" outlineLevel="0" collapsed="false">
      <c r="B5" s="4" t="s">
        <v>2</v>
      </c>
      <c r="C5" s="4"/>
      <c r="D5" s="4"/>
      <c r="E5" s="4"/>
      <c r="F5" s="4"/>
    </row>
    <row r="6" customFormat="false" ht="19.5" hidden="false" customHeight="true" outlineLevel="0" collapsed="false">
      <c r="B6" s="5" t="s">
        <v>3</v>
      </c>
      <c r="C6" s="6" t="s">
        <v>4</v>
      </c>
      <c r="D6" s="6"/>
      <c r="E6" s="6"/>
      <c r="F6" s="6"/>
    </row>
    <row r="7" customFormat="false" ht="19.5" hidden="false" customHeight="true" outlineLevel="0" collapsed="false">
      <c r="B7" s="5" t="s">
        <v>5</v>
      </c>
      <c r="C7" s="6" t="s">
        <v>6</v>
      </c>
      <c r="D7" s="6"/>
      <c r="E7" s="6"/>
      <c r="F7" s="6"/>
    </row>
    <row r="8" customFormat="false" ht="19.5" hidden="false" customHeight="true" outlineLevel="0" collapsed="false">
      <c r="B8" s="5" t="s">
        <v>7</v>
      </c>
      <c r="C8" s="6" t="s">
        <v>8</v>
      </c>
      <c r="D8" s="6"/>
      <c r="E8" s="6"/>
      <c r="F8" s="6"/>
    </row>
    <row r="9" customFormat="false" ht="19.5" hidden="false" customHeight="true" outlineLevel="0" collapsed="false">
      <c r="B9" s="5" t="s">
        <v>9</v>
      </c>
      <c r="C9" s="6" t="s">
        <v>10</v>
      </c>
      <c r="D9" s="6"/>
      <c r="E9" s="6"/>
      <c r="F9" s="6"/>
    </row>
    <row r="10" customFormat="false" ht="19.5" hidden="false" customHeight="true" outlineLevel="0" collapsed="false">
      <c r="B10" s="5" t="s">
        <v>11</v>
      </c>
      <c r="C10" s="6" t="s">
        <v>12</v>
      </c>
      <c r="D10" s="6"/>
      <c r="E10" s="6"/>
      <c r="F10" s="6"/>
    </row>
    <row r="12" customFormat="false" ht="15" hidden="false" customHeight="true" outlineLevel="0" collapsed="false">
      <c r="B12" s="4" t="s">
        <v>13</v>
      </c>
      <c r="C12" s="4"/>
      <c r="D12" s="4"/>
      <c r="E12" s="4"/>
      <c r="F12" s="4"/>
    </row>
    <row r="13" customFormat="false" ht="15" hidden="false" customHeight="true" outlineLevel="0" collapsed="false">
      <c r="B13" s="7" t="s">
        <v>14</v>
      </c>
      <c r="C13" s="8" t="s">
        <v>15</v>
      </c>
      <c r="D13" s="9" t="s">
        <v>16</v>
      </c>
      <c r="E13" s="9"/>
      <c r="F13" s="9"/>
    </row>
    <row r="14" customFormat="false" ht="15" hidden="false" customHeight="true" outlineLevel="0" collapsed="false">
      <c r="B14" s="10" t="n">
        <f aca="false">A1+B1</f>
        <v>0</v>
      </c>
      <c r="C14" s="8" t="s">
        <v>17</v>
      </c>
      <c r="D14" s="9" t="s">
        <v>18</v>
      </c>
      <c r="E14" s="9"/>
      <c r="F14" s="9"/>
    </row>
    <row r="15" customFormat="false" ht="15" hidden="false" customHeight="true" outlineLevel="0" collapsed="false">
      <c r="B15" s="11" t="n">
        <f aca="false">Form_L20!I5</f>
        <v>0.478260869565217</v>
      </c>
      <c r="C15" s="8" t="s">
        <v>19</v>
      </c>
      <c r="D15" s="9" t="s">
        <v>20</v>
      </c>
      <c r="E15" s="9"/>
      <c r="F15" s="9"/>
    </row>
    <row r="17" customFormat="false" ht="15" hidden="false" customHeight="true" outlineLevel="0" collapsed="false">
      <c r="B17" s="4" t="s">
        <v>21</v>
      </c>
      <c r="C17" s="4"/>
      <c r="D17" s="4"/>
      <c r="E17" s="4"/>
      <c r="F17" s="4"/>
    </row>
    <row r="18" customFormat="false" ht="21.75" hidden="false" customHeight="true" outlineLevel="0" collapsed="false">
      <c r="B18" s="12" t="s">
        <v>22</v>
      </c>
      <c r="C18" s="12"/>
      <c r="D18" s="12"/>
      <c r="E18" s="13" t="s">
        <v>23</v>
      </c>
      <c r="F18" s="13"/>
    </row>
    <row r="19" customFormat="false" ht="21.75" hidden="false" customHeight="true" outlineLevel="0" collapsed="false">
      <c r="B19" s="12" t="s">
        <v>24</v>
      </c>
      <c r="C19" s="12"/>
      <c r="D19" s="12"/>
      <c r="E19" s="14" t="s">
        <v>25</v>
      </c>
      <c r="F19" s="14"/>
    </row>
    <row r="20" customFormat="false" ht="21.75" hidden="false" customHeight="true" outlineLevel="0" collapsed="false">
      <c r="B20" s="12" t="s">
        <v>26</v>
      </c>
      <c r="C20" s="12"/>
      <c r="D20" s="12"/>
      <c r="E20" s="14" t="s">
        <v>25</v>
      </c>
      <c r="F20" s="14"/>
    </row>
    <row r="21" customFormat="false" ht="21.75" hidden="false" customHeight="true" outlineLevel="0" collapsed="false">
      <c r="B21" s="12" t="s">
        <v>27</v>
      </c>
      <c r="C21" s="12"/>
      <c r="D21" s="12"/>
      <c r="E21" s="14" t="s">
        <v>25</v>
      </c>
      <c r="F21" s="14"/>
    </row>
    <row r="22" customFormat="false" ht="21.75" hidden="false" customHeight="true" outlineLevel="0" collapsed="false">
      <c r="B22" s="12" t="s">
        <v>28</v>
      </c>
      <c r="C22" s="12"/>
      <c r="D22" s="12"/>
      <c r="E22" s="14" t="s">
        <v>25</v>
      </c>
      <c r="F22" s="14"/>
    </row>
    <row r="23" customFormat="false" ht="21.75" hidden="false" customHeight="true" outlineLevel="0" collapsed="false">
      <c r="B23" s="12" t="s">
        <v>29</v>
      </c>
      <c r="C23" s="12"/>
      <c r="D23" s="12"/>
      <c r="E23" s="14" t="s">
        <v>25</v>
      </c>
      <c r="F23" s="14"/>
    </row>
    <row r="24" customFormat="false" ht="21.75" hidden="false" customHeight="true" outlineLevel="0" collapsed="false">
      <c r="B24" s="12" t="s">
        <v>30</v>
      </c>
      <c r="C24" s="12"/>
      <c r="D24" s="12"/>
      <c r="E24" s="15" t="s">
        <v>31</v>
      </c>
      <c r="F24" s="15"/>
    </row>
    <row r="26" customFormat="false" ht="15" hidden="false" customHeight="true" outlineLevel="0" collapsed="false">
      <c r="B26" s="4" t="s">
        <v>32</v>
      </c>
      <c r="C26" s="4"/>
      <c r="D26" s="4"/>
      <c r="E26" s="4"/>
      <c r="F26" s="4"/>
    </row>
    <row r="27" customFormat="false" ht="15" hidden="false" customHeight="true" outlineLevel="0" collapsed="false">
      <c r="B27" s="16" t="s">
        <v>33</v>
      </c>
      <c r="C27" s="16"/>
      <c r="D27" s="16" t="s">
        <v>34</v>
      </c>
      <c r="E27" s="16"/>
      <c r="F27" s="16"/>
    </row>
    <row r="28" customFormat="false" ht="15" hidden="false" customHeight="true" outlineLevel="0" collapsed="false">
      <c r="B28" s="17" t="s">
        <v>35</v>
      </c>
      <c r="C28" s="17"/>
      <c r="D28" s="18" t="s">
        <v>36</v>
      </c>
      <c r="E28" s="18"/>
      <c r="F28" s="18"/>
    </row>
    <row r="29" customFormat="false" ht="15" hidden="false" customHeight="true" outlineLevel="0" collapsed="false">
      <c r="B29" s="17" t="s">
        <v>33</v>
      </c>
      <c r="C29" s="17"/>
      <c r="D29" s="18" t="s">
        <v>37</v>
      </c>
      <c r="E29" s="18"/>
      <c r="F29" s="18"/>
    </row>
    <row r="30" customFormat="false" ht="15" hidden="false" customHeight="true" outlineLevel="0" collapsed="false">
      <c r="B30" s="17" t="s">
        <v>38</v>
      </c>
      <c r="C30" s="17"/>
      <c r="D30" s="18" t="s">
        <v>39</v>
      </c>
      <c r="E30" s="18"/>
      <c r="F30" s="18"/>
    </row>
    <row r="31" customFormat="false" ht="15" hidden="false" customHeight="true" outlineLevel="0" collapsed="false">
      <c r="B31" s="17" t="s">
        <v>40</v>
      </c>
      <c r="C31" s="17"/>
      <c r="D31" s="18" t="s">
        <v>41</v>
      </c>
      <c r="E31" s="18"/>
      <c r="F31" s="18"/>
    </row>
  </sheetData>
  <mergeCells count="38">
    <mergeCell ref="B2:F2"/>
    <mergeCell ref="B3:F3"/>
    <mergeCell ref="B5:F5"/>
    <mergeCell ref="C6:F6"/>
    <mergeCell ref="C7:F7"/>
    <mergeCell ref="C8:F8"/>
    <mergeCell ref="C9:F9"/>
    <mergeCell ref="C10:F10"/>
    <mergeCell ref="B12:F12"/>
    <mergeCell ref="D13:F13"/>
    <mergeCell ref="D14:F14"/>
    <mergeCell ref="D15:F15"/>
    <mergeCell ref="B17:F17"/>
    <mergeCell ref="B18:D18"/>
    <mergeCell ref="E18:F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</mergeCells>
  <hyperlinks>
    <hyperlink ref="B18" r:id="rId1" location="Teams_Master!A1" display="📋  All 48 teams (reference)"/>
    <hyperlink ref="B19" r:id="rId2" location="Form_L20!A1" display="📊  Recent Form (Last 20)"/>
    <hyperlink ref="B20" r:id="rId3" location="Squad_History!A1" display="👥  Squad &amp; Tournament DNA"/>
    <hyperlink ref="B21" r:id="rId4" location="Tactics!A1" display="⚽  Tactical Mapping"/>
    <hyperlink ref="B22" r:id="rId5" location="Goal_Sources!A1" display="🎯  Goal Source Analysis"/>
    <hyperlink ref="B23" r:id="rId6" location="Goal_Timing!A1" display="⏱  Goal Timing (15-min)"/>
    <hyperlink ref="B24" r:id="rId7" location="Predictions!A1" display="🏆  PREDICTION ENGIN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6"/>
    <col collapsed="false" customWidth="true" hidden="false" outlineLevel="0" max="6" min="6" style="1" width="18"/>
    <col collapsed="false" customWidth="true" hidden="false" outlineLevel="0" max="7" min="7" style="1" width="9"/>
    <col collapsed="false" customWidth="true" hidden="false" outlineLevel="0" max="8" min="8" style="1" width="40"/>
  </cols>
  <sheetData>
    <row r="1" customFormat="false" ht="30" hidden="false" customHeight="true" outlineLevel="0" collapsed="false">
      <c r="A1" s="19" t="s">
        <v>42</v>
      </c>
      <c r="B1" s="19"/>
      <c r="C1" s="19"/>
      <c r="D1" s="19"/>
      <c r="E1" s="19"/>
      <c r="F1" s="19"/>
      <c r="G1" s="19"/>
      <c r="H1" s="19"/>
    </row>
    <row r="2" customFormat="false" ht="15" hidden="false" customHeight="true" outlineLevel="0" collapsed="false">
      <c r="A2" s="20" t="s">
        <v>43</v>
      </c>
      <c r="B2" s="20"/>
      <c r="C2" s="20"/>
      <c r="D2" s="20"/>
      <c r="E2" s="20"/>
      <c r="F2" s="20"/>
      <c r="G2" s="20"/>
      <c r="H2" s="20"/>
    </row>
    <row r="3" customFormat="false" ht="18" hidden="false" customHeight="true" outlineLevel="0" collapsed="false">
      <c r="A3" s="21" t="s">
        <v>44</v>
      </c>
      <c r="B3" s="21"/>
      <c r="C3" s="21"/>
      <c r="D3" s="21"/>
      <c r="E3" s="21"/>
      <c r="F3" s="21"/>
      <c r="G3" s="21"/>
      <c r="H3" s="21"/>
    </row>
    <row r="4" customFormat="false" ht="27.75" hidden="false" customHeight="true" outlineLevel="0" collapsed="false">
      <c r="A4" s="22" t="s">
        <v>45</v>
      </c>
      <c r="B4" s="22" t="s">
        <v>46</v>
      </c>
      <c r="C4" s="22" t="s">
        <v>47</v>
      </c>
      <c r="D4" s="22" t="s">
        <v>48</v>
      </c>
      <c r="E4" s="22" t="s">
        <v>49</v>
      </c>
      <c r="F4" s="22" t="s">
        <v>50</v>
      </c>
      <c r="G4" s="22" t="s">
        <v>51</v>
      </c>
      <c r="H4" s="22" t="s">
        <v>52</v>
      </c>
    </row>
    <row r="5" customFormat="false" ht="15" hidden="false" customHeight="true" outlineLevel="0" collapsed="false">
      <c r="A5" s="23" t="n">
        <v>1</v>
      </c>
      <c r="B5" s="24" t="s">
        <v>53</v>
      </c>
      <c r="C5" s="23" t="s">
        <v>54</v>
      </c>
      <c r="D5" s="23" t="s">
        <v>55</v>
      </c>
      <c r="E5" s="23" t="n">
        <v>1</v>
      </c>
      <c r="F5" s="23" t="n">
        <v>15</v>
      </c>
      <c r="G5" s="23" t="n">
        <v>17</v>
      </c>
      <c r="H5" s="25" t="s">
        <v>56</v>
      </c>
    </row>
    <row r="6" customFormat="false" ht="15" hidden="false" customHeight="true" outlineLevel="0" collapsed="false">
      <c r="A6" s="26" t="n">
        <v>2</v>
      </c>
      <c r="B6" s="27" t="s">
        <v>57</v>
      </c>
      <c r="C6" s="26" t="s">
        <v>58</v>
      </c>
      <c r="D6" s="26" t="s">
        <v>55</v>
      </c>
      <c r="E6" s="26" t="n">
        <v>2</v>
      </c>
      <c r="F6" s="26" t="n">
        <v>22</v>
      </c>
      <c r="G6" s="26" t="n">
        <v>11</v>
      </c>
      <c r="H6" s="28" t="s">
        <v>59</v>
      </c>
    </row>
    <row r="7" customFormat="false" ht="15" hidden="false" customHeight="true" outlineLevel="0" collapsed="false">
      <c r="A7" s="29" t="n">
        <v>3</v>
      </c>
      <c r="B7" s="30" t="s">
        <v>60</v>
      </c>
      <c r="C7" s="29" t="s">
        <v>61</v>
      </c>
      <c r="D7" s="29" t="s">
        <v>55</v>
      </c>
      <c r="E7" s="29" t="n">
        <v>3</v>
      </c>
      <c r="F7" s="29" t="n">
        <v>56</v>
      </c>
      <c r="G7" s="29" t="n">
        <v>4</v>
      </c>
      <c r="H7" s="31" t="s">
        <v>62</v>
      </c>
    </row>
    <row r="8" customFormat="false" ht="15" hidden="false" customHeight="true" outlineLevel="0" collapsed="false">
      <c r="A8" s="32" t="n">
        <v>4</v>
      </c>
      <c r="B8" s="33" t="s">
        <v>63</v>
      </c>
      <c r="C8" s="32" t="s">
        <v>64</v>
      </c>
      <c r="D8" s="32" t="s">
        <v>55</v>
      </c>
      <c r="E8" s="32" t="n">
        <v>4</v>
      </c>
      <c r="F8" s="32" t="n">
        <v>40</v>
      </c>
      <c r="G8" s="32" t="n">
        <v>10</v>
      </c>
      <c r="H8" s="34" t="s">
        <v>65</v>
      </c>
    </row>
    <row r="9" customFormat="false" ht="15" hidden="false" customHeight="true" outlineLevel="0" collapsed="false">
      <c r="A9" s="23" t="n">
        <v>5</v>
      </c>
      <c r="B9" s="24" t="s">
        <v>66</v>
      </c>
      <c r="C9" s="23" t="s">
        <v>54</v>
      </c>
      <c r="D9" s="23" t="s">
        <v>67</v>
      </c>
      <c r="E9" s="23" t="n">
        <v>1</v>
      </c>
      <c r="F9" s="23" t="n">
        <v>30</v>
      </c>
      <c r="G9" s="23" t="n">
        <v>3</v>
      </c>
      <c r="H9" s="25" t="s">
        <v>68</v>
      </c>
    </row>
    <row r="10" customFormat="false" ht="15" hidden="false" customHeight="true" outlineLevel="0" collapsed="false">
      <c r="A10" s="32" t="n">
        <v>6</v>
      </c>
      <c r="B10" s="33" t="s">
        <v>69</v>
      </c>
      <c r="C10" s="32" t="s">
        <v>64</v>
      </c>
      <c r="D10" s="32" t="s">
        <v>67</v>
      </c>
      <c r="E10" s="32" t="n">
        <v>2</v>
      </c>
      <c r="F10" s="32" t="n">
        <v>19</v>
      </c>
      <c r="G10" s="32" t="n">
        <v>12</v>
      </c>
      <c r="H10" s="34" t="s">
        <v>70</v>
      </c>
    </row>
    <row r="11" customFormat="false" ht="15" hidden="false" customHeight="true" outlineLevel="0" collapsed="false">
      <c r="A11" s="26" t="n">
        <v>7</v>
      </c>
      <c r="B11" s="27" t="s">
        <v>71</v>
      </c>
      <c r="C11" s="26" t="s">
        <v>58</v>
      </c>
      <c r="D11" s="26" t="s">
        <v>67</v>
      </c>
      <c r="E11" s="26" t="n">
        <v>3</v>
      </c>
      <c r="F11" s="26" t="n">
        <v>53</v>
      </c>
      <c r="G11" s="26" t="n">
        <v>2</v>
      </c>
      <c r="H11" s="28" t="s">
        <v>72</v>
      </c>
    </row>
    <row r="12" customFormat="false" ht="15" hidden="false" customHeight="true" outlineLevel="0" collapsed="false">
      <c r="A12" s="32" t="n">
        <v>8</v>
      </c>
      <c r="B12" s="33" t="s">
        <v>73</v>
      </c>
      <c r="C12" s="32" t="s">
        <v>64</v>
      </c>
      <c r="D12" s="32" t="s">
        <v>67</v>
      </c>
      <c r="E12" s="32" t="n">
        <v>4</v>
      </c>
      <c r="F12" s="32" t="n">
        <v>75</v>
      </c>
      <c r="G12" s="32" t="n">
        <v>2</v>
      </c>
      <c r="H12" s="34" t="s">
        <v>74</v>
      </c>
    </row>
    <row r="13" customFormat="false" ht="15" hidden="false" customHeight="true" outlineLevel="0" collapsed="false">
      <c r="A13" s="35" t="n">
        <v>9</v>
      </c>
      <c r="B13" s="36" t="s">
        <v>75</v>
      </c>
      <c r="C13" s="35" t="s">
        <v>76</v>
      </c>
      <c r="D13" s="35" t="s">
        <v>77</v>
      </c>
      <c r="E13" s="35" t="n">
        <v>1</v>
      </c>
      <c r="F13" s="35" t="n">
        <v>5</v>
      </c>
      <c r="G13" s="35" t="n">
        <v>23</v>
      </c>
      <c r="H13" s="37" t="s">
        <v>78</v>
      </c>
    </row>
    <row r="14" customFormat="false" ht="15" hidden="false" customHeight="true" outlineLevel="0" collapsed="false">
      <c r="A14" s="29" t="n">
        <v>10</v>
      </c>
      <c r="B14" s="30" t="s">
        <v>79</v>
      </c>
      <c r="C14" s="29" t="s">
        <v>61</v>
      </c>
      <c r="D14" s="29" t="s">
        <v>77</v>
      </c>
      <c r="E14" s="29" t="n">
        <v>2</v>
      </c>
      <c r="F14" s="29" t="n">
        <v>14</v>
      </c>
      <c r="G14" s="29" t="n">
        <v>7</v>
      </c>
      <c r="H14" s="31" t="s">
        <v>80</v>
      </c>
    </row>
    <row r="15" customFormat="false" ht="15" hidden="false" customHeight="true" outlineLevel="0" collapsed="false">
      <c r="A15" s="32" t="n">
        <v>11</v>
      </c>
      <c r="B15" s="33" t="s">
        <v>81</v>
      </c>
      <c r="C15" s="32" t="s">
        <v>64</v>
      </c>
      <c r="D15" s="32" t="s">
        <v>77</v>
      </c>
      <c r="E15" s="32" t="n">
        <v>3</v>
      </c>
      <c r="F15" s="32" t="n">
        <v>39</v>
      </c>
      <c r="G15" s="32" t="n">
        <v>9</v>
      </c>
      <c r="H15" s="34" t="s">
        <v>48</v>
      </c>
    </row>
    <row r="16" customFormat="false" ht="15" hidden="false" customHeight="true" outlineLevel="0" collapsed="false">
      <c r="A16" s="23" t="n">
        <v>12</v>
      </c>
      <c r="B16" s="24" t="s">
        <v>82</v>
      </c>
      <c r="C16" s="23" t="s">
        <v>54</v>
      </c>
      <c r="D16" s="23" t="s">
        <v>77</v>
      </c>
      <c r="E16" s="23" t="n">
        <v>4</v>
      </c>
      <c r="F16" s="23" t="n">
        <v>83</v>
      </c>
      <c r="G16" s="23" t="n">
        <v>2</v>
      </c>
      <c r="H16" s="25" t="s">
        <v>83</v>
      </c>
    </row>
    <row r="17" customFormat="false" ht="15" hidden="false" customHeight="true" outlineLevel="0" collapsed="false">
      <c r="A17" s="23" t="n">
        <v>13</v>
      </c>
      <c r="B17" s="24" t="s">
        <v>84</v>
      </c>
      <c r="C17" s="23" t="s">
        <v>54</v>
      </c>
      <c r="D17" s="23" t="s">
        <v>85</v>
      </c>
      <c r="E17" s="23" t="n">
        <v>1</v>
      </c>
      <c r="F17" s="23" t="n">
        <v>16</v>
      </c>
      <c r="G17" s="23" t="n">
        <v>12</v>
      </c>
      <c r="H17" s="25" t="s">
        <v>86</v>
      </c>
    </row>
    <row r="18" customFormat="false" ht="15" hidden="false" customHeight="true" outlineLevel="0" collapsed="false">
      <c r="A18" s="35" t="n">
        <v>14</v>
      </c>
      <c r="B18" s="36" t="s">
        <v>87</v>
      </c>
      <c r="C18" s="35" t="s">
        <v>76</v>
      </c>
      <c r="D18" s="35" t="s">
        <v>85</v>
      </c>
      <c r="E18" s="35" t="n">
        <v>2</v>
      </c>
      <c r="F18" s="35" t="n">
        <v>41</v>
      </c>
      <c r="G18" s="35" t="n">
        <v>9</v>
      </c>
      <c r="H18" s="37" t="s">
        <v>88</v>
      </c>
    </row>
    <row r="19" customFormat="false" ht="15" hidden="false" customHeight="true" outlineLevel="0" collapsed="false">
      <c r="A19" s="26" t="n">
        <v>15</v>
      </c>
      <c r="B19" s="27" t="s">
        <v>89</v>
      </c>
      <c r="C19" s="26" t="s">
        <v>58</v>
      </c>
      <c r="D19" s="26" t="s">
        <v>85</v>
      </c>
      <c r="E19" s="26" t="n">
        <v>3</v>
      </c>
      <c r="F19" s="26" t="n">
        <v>26</v>
      </c>
      <c r="G19" s="26" t="n">
        <v>7</v>
      </c>
      <c r="H19" s="28" t="s">
        <v>90</v>
      </c>
    </row>
    <row r="20" customFormat="false" ht="15" hidden="false" customHeight="true" outlineLevel="0" collapsed="false">
      <c r="A20" s="32" t="n">
        <v>16</v>
      </c>
      <c r="B20" s="33" t="s">
        <v>91</v>
      </c>
      <c r="C20" s="32" t="s">
        <v>64</v>
      </c>
      <c r="D20" s="32" t="s">
        <v>85</v>
      </c>
      <c r="E20" s="32" t="n">
        <v>4</v>
      </c>
      <c r="F20" s="32" t="n">
        <v>25</v>
      </c>
      <c r="G20" s="32" t="n">
        <v>3</v>
      </c>
      <c r="H20" s="34" t="s">
        <v>92</v>
      </c>
    </row>
    <row r="21" customFormat="false" ht="15" hidden="false" customHeight="true" outlineLevel="0" collapsed="false">
      <c r="A21" s="32" t="n">
        <v>17</v>
      </c>
      <c r="B21" s="33" t="s">
        <v>93</v>
      </c>
      <c r="C21" s="32" t="s">
        <v>64</v>
      </c>
      <c r="D21" s="32" t="s">
        <v>94</v>
      </c>
      <c r="E21" s="32" t="n">
        <v>1</v>
      </c>
      <c r="F21" s="32" t="n">
        <v>9</v>
      </c>
      <c r="G21" s="32" t="n">
        <v>21</v>
      </c>
      <c r="H21" s="34" t="s">
        <v>95</v>
      </c>
    </row>
    <row r="22" customFormat="false" ht="15" hidden="false" customHeight="true" outlineLevel="0" collapsed="false">
      <c r="A22" s="35" t="n">
        <v>18</v>
      </c>
      <c r="B22" s="36" t="s">
        <v>96</v>
      </c>
      <c r="C22" s="35" t="s">
        <v>76</v>
      </c>
      <c r="D22" s="35" t="s">
        <v>94</v>
      </c>
      <c r="E22" s="35" t="n">
        <v>2</v>
      </c>
      <c r="F22" s="35" t="n">
        <v>23</v>
      </c>
      <c r="G22" s="35" t="n">
        <v>5</v>
      </c>
      <c r="H22" s="37" t="s">
        <v>97</v>
      </c>
    </row>
    <row r="23" customFormat="false" ht="15" hidden="false" customHeight="true" outlineLevel="0" collapsed="false">
      <c r="A23" s="29" t="n">
        <v>19</v>
      </c>
      <c r="B23" s="30" t="s">
        <v>98</v>
      </c>
      <c r="C23" s="29" t="s">
        <v>61</v>
      </c>
      <c r="D23" s="29" t="s">
        <v>94</v>
      </c>
      <c r="E23" s="29" t="n">
        <v>3</v>
      </c>
      <c r="F23" s="29" t="n">
        <v>42</v>
      </c>
      <c r="G23" s="29" t="n">
        <v>4</v>
      </c>
      <c r="H23" s="31" t="s">
        <v>48</v>
      </c>
    </row>
    <row r="24" customFormat="false" ht="15" hidden="false" customHeight="true" outlineLevel="0" collapsed="false">
      <c r="A24" s="23" t="n">
        <v>20</v>
      </c>
      <c r="B24" s="24" t="s">
        <v>99</v>
      </c>
      <c r="C24" s="23" t="s">
        <v>54</v>
      </c>
      <c r="D24" s="23" t="s">
        <v>94</v>
      </c>
      <c r="E24" s="23" t="n">
        <v>4</v>
      </c>
      <c r="F24" s="23" t="n">
        <v>82</v>
      </c>
      <c r="G24" s="23" t="n">
        <v>0</v>
      </c>
      <c r="H24" s="25" t="s">
        <v>100</v>
      </c>
    </row>
    <row r="25" customFormat="false" ht="15" hidden="false" customHeight="true" outlineLevel="0" collapsed="false">
      <c r="A25" s="32" t="n">
        <v>21</v>
      </c>
      <c r="B25" s="33" t="s">
        <v>101</v>
      </c>
      <c r="C25" s="32" t="s">
        <v>64</v>
      </c>
      <c r="D25" s="32" t="s">
        <v>102</v>
      </c>
      <c r="E25" s="32" t="n">
        <v>1</v>
      </c>
      <c r="F25" s="32" t="n">
        <v>6</v>
      </c>
      <c r="G25" s="32" t="n">
        <v>12</v>
      </c>
      <c r="H25" s="34" t="s">
        <v>103</v>
      </c>
    </row>
    <row r="26" customFormat="false" ht="15" hidden="false" customHeight="true" outlineLevel="0" collapsed="false">
      <c r="A26" s="26" t="n">
        <v>22</v>
      </c>
      <c r="B26" s="27" t="s">
        <v>104</v>
      </c>
      <c r="C26" s="26" t="s">
        <v>58</v>
      </c>
      <c r="D26" s="26" t="s">
        <v>102</v>
      </c>
      <c r="E26" s="26" t="n">
        <v>2</v>
      </c>
      <c r="F26" s="26" t="n">
        <v>17</v>
      </c>
      <c r="G26" s="26" t="n">
        <v>8</v>
      </c>
      <c r="H26" s="28" t="s">
        <v>105</v>
      </c>
    </row>
    <row r="27" customFormat="false" ht="15" hidden="false" customHeight="true" outlineLevel="0" collapsed="false">
      <c r="A27" s="29" t="n">
        <v>23</v>
      </c>
      <c r="B27" s="30" t="s">
        <v>106</v>
      </c>
      <c r="C27" s="29" t="s">
        <v>61</v>
      </c>
      <c r="D27" s="29" t="s">
        <v>102</v>
      </c>
      <c r="E27" s="29" t="n">
        <v>3</v>
      </c>
      <c r="F27" s="29" t="n">
        <v>50</v>
      </c>
      <c r="G27" s="29" t="n">
        <v>7</v>
      </c>
      <c r="H27" s="31" t="s">
        <v>48</v>
      </c>
    </row>
    <row r="28" customFormat="false" ht="15" hidden="false" customHeight="true" outlineLevel="0" collapsed="false">
      <c r="A28" s="32" t="n">
        <v>24</v>
      </c>
      <c r="B28" s="33" t="s">
        <v>107</v>
      </c>
      <c r="C28" s="32" t="s">
        <v>64</v>
      </c>
      <c r="D28" s="32" t="s">
        <v>102</v>
      </c>
      <c r="E28" s="32" t="n">
        <v>4</v>
      </c>
      <c r="F28" s="32" t="n">
        <v>35</v>
      </c>
      <c r="G28" s="32" t="n">
        <v>13</v>
      </c>
      <c r="H28" s="34" t="s">
        <v>108</v>
      </c>
    </row>
    <row r="29" customFormat="false" ht="15" hidden="false" customHeight="true" outlineLevel="0" collapsed="false">
      <c r="A29" s="32" t="n">
        <v>25</v>
      </c>
      <c r="B29" s="33" t="s">
        <v>109</v>
      </c>
      <c r="C29" s="32" t="s">
        <v>64</v>
      </c>
      <c r="D29" s="32" t="s">
        <v>110</v>
      </c>
      <c r="E29" s="32" t="n">
        <v>1</v>
      </c>
      <c r="F29" s="32" t="n">
        <v>8</v>
      </c>
      <c r="G29" s="32" t="n">
        <v>14</v>
      </c>
      <c r="H29" s="34" t="s">
        <v>111</v>
      </c>
    </row>
    <row r="30" customFormat="false" ht="15" hidden="false" customHeight="true" outlineLevel="0" collapsed="false">
      <c r="A30" s="26" t="n">
        <v>26</v>
      </c>
      <c r="B30" s="27" t="s">
        <v>112</v>
      </c>
      <c r="C30" s="26" t="s">
        <v>58</v>
      </c>
      <c r="D30" s="26" t="s">
        <v>110</v>
      </c>
      <c r="E30" s="26" t="n">
        <v>2</v>
      </c>
      <c r="F30" s="26" t="n">
        <v>18</v>
      </c>
      <c r="G30" s="26" t="n">
        <v>7</v>
      </c>
      <c r="H30" s="28" t="s">
        <v>48</v>
      </c>
    </row>
    <row r="31" customFormat="false" ht="15" hidden="false" customHeight="true" outlineLevel="0" collapsed="false">
      <c r="A31" s="29" t="n">
        <v>27</v>
      </c>
      <c r="B31" s="30" t="s">
        <v>113</v>
      </c>
      <c r="C31" s="29" t="s">
        <v>61</v>
      </c>
      <c r="D31" s="29" t="s">
        <v>110</v>
      </c>
      <c r="E31" s="29" t="n">
        <v>3</v>
      </c>
      <c r="F31" s="29" t="n">
        <v>36</v>
      </c>
      <c r="G31" s="29" t="n">
        <v>4</v>
      </c>
      <c r="H31" s="31" t="s">
        <v>48</v>
      </c>
    </row>
    <row r="32" customFormat="false" ht="15" hidden="false" customHeight="true" outlineLevel="0" collapsed="false">
      <c r="A32" s="38" t="n">
        <v>28</v>
      </c>
      <c r="B32" s="39" t="s">
        <v>114</v>
      </c>
      <c r="C32" s="38" t="s">
        <v>115</v>
      </c>
      <c r="D32" s="38" t="s">
        <v>110</v>
      </c>
      <c r="E32" s="38" t="n">
        <v>4</v>
      </c>
      <c r="F32" s="38" t="n">
        <v>86</v>
      </c>
      <c r="G32" s="38" t="n">
        <v>3</v>
      </c>
      <c r="H32" s="40" t="s">
        <v>116</v>
      </c>
    </row>
    <row r="33" customFormat="false" ht="15" hidden="false" customHeight="true" outlineLevel="0" collapsed="false">
      <c r="A33" s="32" t="n">
        <v>29</v>
      </c>
      <c r="B33" s="33" t="s">
        <v>117</v>
      </c>
      <c r="C33" s="32" t="s">
        <v>64</v>
      </c>
      <c r="D33" s="32" t="s">
        <v>118</v>
      </c>
      <c r="E33" s="32" t="n">
        <v>1</v>
      </c>
      <c r="F33" s="32" t="n">
        <v>1</v>
      </c>
      <c r="G33" s="32" t="n">
        <v>17</v>
      </c>
      <c r="H33" s="34" t="s">
        <v>119</v>
      </c>
    </row>
    <row r="34" customFormat="false" ht="15" hidden="false" customHeight="true" outlineLevel="0" collapsed="false">
      <c r="A34" s="35" t="n">
        <v>30</v>
      </c>
      <c r="B34" s="36" t="s">
        <v>120</v>
      </c>
      <c r="C34" s="35" t="s">
        <v>76</v>
      </c>
      <c r="D34" s="35" t="s">
        <v>118</v>
      </c>
      <c r="E34" s="35" t="n">
        <v>2</v>
      </c>
      <c r="F34" s="35" t="n">
        <v>13</v>
      </c>
      <c r="G34" s="35" t="n">
        <v>14</v>
      </c>
      <c r="H34" s="37" t="s">
        <v>121</v>
      </c>
    </row>
    <row r="35" customFormat="false" ht="15" hidden="false" customHeight="true" outlineLevel="0" collapsed="false">
      <c r="A35" s="26" t="n">
        <v>31</v>
      </c>
      <c r="B35" s="27" t="s">
        <v>122</v>
      </c>
      <c r="C35" s="26" t="s">
        <v>58</v>
      </c>
      <c r="D35" s="26" t="s">
        <v>118</v>
      </c>
      <c r="E35" s="26" t="n">
        <v>3</v>
      </c>
      <c r="F35" s="26" t="n">
        <v>60</v>
      </c>
      <c r="G35" s="26" t="n">
        <v>7</v>
      </c>
      <c r="H35" s="28" t="s">
        <v>123</v>
      </c>
    </row>
    <row r="36" customFormat="false" ht="15" hidden="false" customHeight="true" outlineLevel="0" collapsed="false">
      <c r="A36" s="29" t="n">
        <v>32</v>
      </c>
      <c r="B36" s="30" t="s">
        <v>124</v>
      </c>
      <c r="C36" s="29" t="s">
        <v>61</v>
      </c>
      <c r="D36" s="29" t="s">
        <v>118</v>
      </c>
      <c r="E36" s="29" t="n">
        <v>4</v>
      </c>
      <c r="F36" s="29" t="n">
        <v>64</v>
      </c>
      <c r="G36" s="29" t="n">
        <v>0</v>
      </c>
      <c r="H36" s="31" t="s">
        <v>100</v>
      </c>
    </row>
    <row r="37" customFormat="false" ht="15" hidden="false" customHeight="true" outlineLevel="0" collapsed="false">
      <c r="A37" s="32" t="n">
        <v>33</v>
      </c>
      <c r="B37" s="33" t="s">
        <v>125</v>
      </c>
      <c r="C37" s="32" t="s">
        <v>64</v>
      </c>
      <c r="D37" s="32" t="s">
        <v>126</v>
      </c>
      <c r="E37" s="32" t="n">
        <v>1</v>
      </c>
      <c r="F37" s="32" t="n">
        <v>4</v>
      </c>
      <c r="G37" s="32" t="n">
        <v>17</v>
      </c>
      <c r="H37" s="34" t="s">
        <v>127</v>
      </c>
    </row>
    <row r="38" customFormat="false" ht="15" hidden="false" customHeight="true" outlineLevel="0" collapsed="false">
      <c r="A38" s="29" t="n">
        <v>34</v>
      </c>
      <c r="B38" s="30" t="s">
        <v>128</v>
      </c>
      <c r="C38" s="29" t="s">
        <v>61</v>
      </c>
      <c r="D38" s="29" t="s">
        <v>126</v>
      </c>
      <c r="E38" s="29" t="n">
        <v>2</v>
      </c>
      <c r="F38" s="29" t="n">
        <v>21</v>
      </c>
      <c r="G38" s="29" t="n">
        <v>4</v>
      </c>
      <c r="H38" s="31" t="s">
        <v>129</v>
      </c>
    </row>
    <row r="39" customFormat="false" ht="15" hidden="false" customHeight="true" outlineLevel="0" collapsed="false">
      <c r="A39" s="32" t="n">
        <v>35</v>
      </c>
      <c r="B39" s="33" t="s">
        <v>130</v>
      </c>
      <c r="C39" s="32" t="s">
        <v>64</v>
      </c>
      <c r="D39" s="32" t="s">
        <v>126</v>
      </c>
      <c r="E39" s="32" t="n">
        <v>3</v>
      </c>
      <c r="F39" s="32" t="n">
        <v>28</v>
      </c>
      <c r="G39" s="32" t="n">
        <v>4</v>
      </c>
      <c r="H39" s="34" t="s">
        <v>131</v>
      </c>
    </row>
    <row r="40" customFormat="false" ht="15" hidden="false" customHeight="true" outlineLevel="0" collapsed="false">
      <c r="A40" s="26" t="n">
        <v>36</v>
      </c>
      <c r="B40" s="27" t="s">
        <v>132</v>
      </c>
      <c r="C40" s="26" t="s">
        <v>58</v>
      </c>
      <c r="D40" s="26" t="s">
        <v>126</v>
      </c>
      <c r="E40" s="26" t="n">
        <v>4</v>
      </c>
      <c r="F40" s="26" t="n">
        <v>58</v>
      </c>
      <c r="G40" s="26" t="n">
        <v>2</v>
      </c>
      <c r="H40" s="28" t="s">
        <v>133</v>
      </c>
    </row>
    <row r="41" customFormat="false" ht="15" hidden="false" customHeight="true" outlineLevel="0" collapsed="false">
      <c r="A41" s="35" t="n">
        <v>37</v>
      </c>
      <c r="B41" s="36" t="s">
        <v>134</v>
      </c>
      <c r="C41" s="35" t="s">
        <v>76</v>
      </c>
      <c r="D41" s="35" t="s">
        <v>135</v>
      </c>
      <c r="E41" s="35" t="n">
        <v>1</v>
      </c>
      <c r="F41" s="35" t="n">
        <v>2</v>
      </c>
      <c r="G41" s="35" t="n">
        <v>19</v>
      </c>
      <c r="H41" s="37" t="s">
        <v>136</v>
      </c>
    </row>
    <row r="42" customFormat="false" ht="15" hidden="false" customHeight="true" outlineLevel="0" collapsed="false">
      <c r="A42" s="32" t="n">
        <v>38</v>
      </c>
      <c r="B42" s="33" t="s">
        <v>137</v>
      </c>
      <c r="C42" s="32" t="s">
        <v>64</v>
      </c>
      <c r="D42" s="32" t="s">
        <v>135</v>
      </c>
      <c r="E42" s="32" t="n">
        <v>2</v>
      </c>
      <c r="F42" s="32" t="n">
        <v>24</v>
      </c>
      <c r="G42" s="32" t="n">
        <v>8</v>
      </c>
      <c r="H42" s="34" t="s">
        <v>138</v>
      </c>
    </row>
    <row r="43" customFormat="false" ht="15" hidden="false" customHeight="true" outlineLevel="0" collapsed="false">
      <c r="A43" s="29" t="n">
        <v>39</v>
      </c>
      <c r="B43" s="30" t="s">
        <v>139</v>
      </c>
      <c r="C43" s="29" t="s">
        <v>61</v>
      </c>
      <c r="D43" s="29" t="s">
        <v>135</v>
      </c>
      <c r="E43" s="29" t="n">
        <v>3</v>
      </c>
      <c r="F43" s="29" t="n">
        <v>38</v>
      </c>
      <c r="G43" s="29" t="n">
        <v>5</v>
      </c>
      <c r="H43" s="31" t="s">
        <v>140</v>
      </c>
    </row>
    <row r="44" customFormat="false" ht="15" hidden="false" customHeight="true" outlineLevel="0" collapsed="false">
      <c r="A44" s="26" t="n">
        <v>40</v>
      </c>
      <c r="B44" s="27" t="s">
        <v>141</v>
      </c>
      <c r="C44" s="26" t="s">
        <v>58</v>
      </c>
      <c r="D44" s="26" t="s">
        <v>135</v>
      </c>
      <c r="E44" s="26" t="n">
        <v>4</v>
      </c>
      <c r="F44" s="26" t="n">
        <v>65</v>
      </c>
      <c r="G44" s="26" t="n">
        <v>0</v>
      </c>
      <c r="H44" s="28" t="s">
        <v>100</v>
      </c>
    </row>
    <row r="45" customFormat="false" ht="15" hidden="false" customHeight="true" outlineLevel="0" collapsed="false">
      <c r="A45" s="32" t="n">
        <v>41</v>
      </c>
      <c r="B45" s="33" t="s">
        <v>142</v>
      </c>
      <c r="C45" s="32" t="s">
        <v>64</v>
      </c>
      <c r="D45" s="32" t="s">
        <v>143</v>
      </c>
      <c r="E45" s="32" t="n">
        <v>1</v>
      </c>
      <c r="F45" s="32" t="n">
        <v>7</v>
      </c>
      <c r="G45" s="32" t="n">
        <v>9</v>
      </c>
      <c r="H45" s="34" t="s">
        <v>144</v>
      </c>
    </row>
    <row r="46" customFormat="false" ht="15" hidden="false" customHeight="true" outlineLevel="0" collapsed="false">
      <c r="A46" s="35" t="n">
        <v>42</v>
      </c>
      <c r="B46" s="36" t="s">
        <v>145</v>
      </c>
      <c r="C46" s="35" t="s">
        <v>76</v>
      </c>
      <c r="D46" s="35" t="s">
        <v>143</v>
      </c>
      <c r="E46" s="35" t="n">
        <v>2</v>
      </c>
      <c r="F46" s="35" t="n">
        <v>12</v>
      </c>
      <c r="G46" s="35" t="n">
        <v>7</v>
      </c>
      <c r="H46" s="37" t="s">
        <v>146</v>
      </c>
    </row>
    <row r="47" customFormat="false" ht="15" hidden="false" customHeight="true" outlineLevel="0" collapsed="false">
      <c r="A47" s="26" t="n">
        <v>43</v>
      </c>
      <c r="B47" s="27" t="s">
        <v>147</v>
      </c>
      <c r="C47" s="26" t="s">
        <v>58</v>
      </c>
      <c r="D47" s="26" t="s">
        <v>143</v>
      </c>
      <c r="E47" s="26" t="n">
        <v>3</v>
      </c>
      <c r="F47" s="26" t="n">
        <v>57</v>
      </c>
      <c r="G47" s="26" t="n">
        <v>0</v>
      </c>
      <c r="H47" s="28" t="s">
        <v>100</v>
      </c>
    </row>
    <row r="48" customFormat="false" ht="15" hidden="false" customHeight="true" outlineLevel="0" collapsed="false">
      <c r="A48" s="29" t="n">
        <v>44</v>
      </c>
      <c r="B48" s="30" t="s">
        <v>148</v>
      </c>
      <c r="C48" s="29" t="s">
        <v>61</v>
      </c>
      <c r="D48" s="29" t="s">
        <v>143</v>
      </c>
      <c r="E48" s="29" t="n">
        <v>4</v>
      </c>
      <c r="F48" s="29" t="n">
        <v>59</v>
      </c>
      <c r="G48" s="29" t="n">
        <v>3</v>
      </c>
      <c r="H48" s="31" t="s">
        <v>83</v>
      </c>
    </row>
    <row r="49" customFormat="false" ht="15" hidden="false" customHeight="true" outlineLevel="0" collapsed="false">
      <c r="A49" s="32" t="n">
        <v>45</v>
      </c>
      <c r="B49" s="33" t="s">
        <v>149</v>
      </c>
      <c r="C49" s="32" t="s">
        <v>64</v>
      </c>
      <c r="D49" s="32" t="s">
        <v>150</v>
      </c>
      <c r="E49" s="32" t="n">
        <v>1</v>
      </c>
      <c r="F49" s="32" t="n">
        <v>3</v>
      </c>
      <c r="G49" s="32" t="n">
        <v>17</v>
      </c>
      <c r="H49" s="34" t="s">
        <v>151</v>
      </c>
    </row>
    <row r="50" customFormat="false" ht="15" hidden="false" customHeight="true" outlineLevel="0" collapsed="false">
      <c r="A50" s="32" t="n">
        <v>46</v>
      </c>
      <c r="B50" s="33" t="s">
        <v>152</v>
      </c>
      <c r="C50" s="32" t="s">
        <v>64</v>
      </c>
      <c r="D50" s="32" t="s">
        <v>150</v>
      </c>
      <c r="E50" s="32" t="n">
        <v>2</v>
      </c>
      <c r="F50" s="32" t="n">
        <v>10</v>
      </c>
      <c r="G50" s="32" t="n">
        <v>7</v>
      </c>
      <c r="H50" s="34" t="s">
        <v>153</v>
      </c>
    </row>
    <row r="51" customFormat="false" ht="15" hidden="false" customHeight="true" outlineLevel="0" collapsed="false">
      <c r="A51" s="23" t="n">
        <v>47</v>
      </c>
      <c r="B51" s="24" t="s">
        <v>154</v>
      </c>
      <c r="C51" s="23" t="s">
        <v>54</v>
      </c>
      <c r="D51" s="23" t="s">
        <v>150</v>
      </c>
      <c r="E51" s="23" t="n">
        <v>3</v>
      </c>
      <c r="F51" s="23" t="n">
        <v>49</v>
      </c>
      <c r="G51" s="23" t="n">
        <v>2</v>
      </c>
      <c r="H51" s="25" t="s">
        <v>155</v>
      </c>
    </row>
    <row r="52" customFormat="false" ht="15" hidden="false" customHeight="true" outlineLevel="0" collapsed="false">
      <c r="A52" s="29" t="n">
        <v>48</v>
      </c>
      <c r="B52" s="30" t="s">
        <v>156</v>
      </c>
      <c r="C52" s="29" t="s">
        <v>61</v>
      </c>
      <c r="D52" s="29" t="s">
        <v>150</v>
      </c>
      <c r="E52" s="29" t="n">
        <v>4</v>
      </c>
      <c r="F52" s="29" t="n">
        <v>76</v>
      </c>
      <c r="G52" s="29" t="n">
        <v>5</v>
      </c>
      <c r="H52" s="31" t="s">
        <v>88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12"/>
    <col collapsed="false" customWidth="true" hidden="false" outlineLevel="0" max="4" min="4" style="1" width="7"/>
    <col collapsed="false" customWidth="true" hidden="false" outlineLevel="0" max="5" min="5" style="1" width="8"/>
    <col collapsed="false" customWidth="true" hidden="false" outlineLevel="0" max="8" min="6" style="1" width="7"/>
    <col collapsed="false" customWidth="true" hidden="false" outlineLevel="0" max="9" min="9" style="1" width="9"/>
    <col collapsed="false" customWidth="true" hidden="false" outlineLevel="0" max="11" min="10" style="1" width="7"/>
    <col collapsed="false" customWidth="true" hidden="false" outlineLevel="0" max="12" min="12" style="1" width="9"/>
    <col collapsed="false" customWidth="true" hidden="false" outlineLevel="0" max="14" min="13" style="1" width="10"/>
    <col collapsed="false" customWidth="true" hidden="false" outlineLevel="0" max="16" min="15" style="1" width="8"/>
  </cols>
  <sheetData>
    <row r="1" customFormat="false" ht="30" hidden="false" customHeight="true" outlineLevel="0" collapsed="false">
      <c r="A1" s="19" t="s">
        <v>157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customFormat="false" ht="15" hidden="false" customHeight="true" outlineLevel="0" collapsed="false">
      <c r="A2" s="20" t="s">
        <v>158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customFormat="false" ht="18" hidden="false" customHeight="true" outlineLevel="0" collapsed="false">
      <c r="A3" s="21" t="s">
        <v>44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customFormat="false" ht="36" hidden="false" customHeight="true" outlineLevel="0" collapsed="false">
      <c r="A4" s="22" t="s">
        <v>45</v>
      </c>
      <c r="B4" s="22" t="s">
        <v>46</v>
      </c>
      <c r="C4" s="22" t="s">
        <v>159</v>
      </c>
      <c r="D4" s="22" t="s">
        <v>48</v>
      </c>
      <c r="E4" s="22" t="s">
        <v>160</v>
      </c>
      <c r="F4" s="22" t="s">
        <v>161</v>
      </c>
      <c r="G4" s="22" t="s">
        <v>162</v>
      </c>
      <c r="H4" s="22" t="s">
        <v>163</v>
      </c>
      <c r="I4" s="22" t="s">
        <v>164</v>
      </c>
      <c r="J4" s="22" t="s">
        <v>165</v>
      </c>
      <c r="K4" s="22" t="s">
        <v>166</v>
      </c>
      <c r="L4" s="22" t="s">
        <v>167</v>
      </c>
      <c r="M4" s="22" t="s">
        <v>168</v>
      </c>
      <c r="N4" s="22" t="s">
        <v>169</v>
      </c>
      <c r="O4" s="22" t="s">
        <v>170</v>
      </c>
      <c r="P4" s="22" t="s">
        <v>171</v>
      </c>
      <c r="Q4" s="1" t="s">
        <v>172</v>
      </c>
      <c r="R4" s="1" t="s">
        <v>173</v>
      </c>
    </row>
    <row r="5" customFormat="false" ht="15" hidden="false" customHeight="true" outlineLevel="0" collapsed="false">
      <c r="A5" s="23" t="n">
        <v>1</v>
      </c>
      <c r="B5" s="24" t="s">
        <v>53</v>
      </c>
      <c r="C5" s="23" t="s">
        <v>54</v>
      </c>
      <c r="D5" s="23" t="s">
        <v>55</v>
      </c>
      <c r="E5" s="41" t="n">
        <v>23</v>
      </c>
      <c r="F5" s="41" t="n">
        <v>11</v>
      </c>
      <c r="G5" s="41" t="n">
        <v>8</v>
      </c>
      <c r="H5" s="41" t="n">
        <v>4</v>
      </c>
      <c r="I5" s="42" t="n">
        <f aca="false">IFERROR(F5/E5,0)</f>
        <v>0.478260869565217</v>
      </c>
      <c r="J5" s="41" t="n">
        <v>29</v>
      </c>
      <c r="K5" s="41" t="n">
        <v>17</v>
      </c>
      <c r="L5" s="43" t="n">
        <f aca="false">J5-K5</f>
        <v>12</v>
      </c>
      <c r="M5" s="44" t="n">
        <f aca="false">IFERROR(J5/E5,0)</f>
        <v>1.26086956521739</v>
      </c>
      <c r="N5" s="44" t="n">
        <f aca="false">IFERROR(K5/E5,0)</f>
        <v>0.739130434782609</v>
      </c>
      <c r="O5" s="41" t="n">
        <v>6</v>
      </c>
      <c r="P5" s="41" t="s">
        <v>174</v>
      </c>
      <c r="Q5" s="1" t="n">
        <v>0.84</v>
      </c>
      <c r="R5" s="1" t="n">
        <f aca="false">IFERROR((3*F5+G5)/(3*E5),0)</f>
        <v>0.594202898550725</v>
      </c>
    </row>
    <row r="6" customFormat="false" ht="15" hidden="false" customHeight="true" outlineLevel="0" collapsed="false">
      <c r="A6" s="26" t="n">
        <v>2</v>
      </c>
      <c r="B6" s="27" t="s">
        <v>57</v>
      </c>
      <c r="C6" s="26" t="s">
        <v>58</v>
      </c>
      <c r="D6" s="26" t="s">
        <v>55</v>
      </c>
      <c r="E6" s="41" t="n">
        <v>15</v>
      </c>
      <c r="F6" s="41" t="n">
        <v>10</v>
      </c>
      <c r="G6" s="41" t="n">
        <v>2</v>
      </c>
      <c r="H6" s="41" t="n">
        <v>3</v>
      </c>
      <c r="I6" s="42" t="n">
        <f aca="false">IFERROR(F6/E6,0)</f>
        <v>0.666666666666667</v>
      </c>
      <c r="J6" s="41" t="n">
        <v>33</v>
      </c>
      <c r="K6" s="41" t="n">
        <v>18</v>
      </c>
      <c r="L6" s="43" t="n">
        <f aca="false">J6-K6</f>
        <v>15</v>
      </c>
      <c r="M6" s="44" t="n">
        <f aca="false">IFERROR(J6/E6,0)</f>
        <v>2.2</v>
      </c>
      <c r="N6" s="44" t="n">
        <f aca="false">IFERROR(K6/E6,0)</f>
        <v>1.2</v>
      </c>
      <c r="O6" s="41" t="n">
        <v>5</v>
      </c>
      <c r="P6" s="41" t="s">
        <v>175</v>
      </c>
      <c r="Q6" s="1" t="n">
        <v>0.83</v>
      </c>
      <c r="R6" s="1" t="n">
        <f aca="false">IFERROR((3*F6+G6)/(3*E6),0)</f>
        <v>0.711111111111111</v>
      </c>
    </row>
    <row r="7" customFormat="false" ht="15" hidden="false" customHeight="true" outlineLevel="0" collapsed="false">
      <c r="A7" s="29" t="n">
        <v>3</v>
      </c>
      <c r="B7" s="30" t="s">
        <v>60</v>
      </c>
      <c r="C7" s="29" t="s">
        <v>61</v>
      </c>
      <c r="D7" s="29" t="s">
        <v>55</v>
      </c>
      <c r="E7" s="41" t="n">
        <v>10</v>
      </c>
      <c r="F7" s="41" t="n">
        <v>5</v>
      </c>
      <c r="G7" s="41" t="n">
        <v>3</v>
      </c>
      <c r="H7" s="41" t="n">
        <v>2</v>
      </c>
      <c r="I7" s="42" t="n">
        <f aca="false">IFERROR(F7/E7,0)</f>
        <v>0.5</v>
      </c>
      <c r="J7" s="41" t="n">
        <v>15</v>
      </c>
      <c r="K7" s="41" t="n">
        <v>9</v>
      </c>
      <c r="L7" s="43" t="n">
        <f aca="false">J7-K7</f>
        <v>6</v>
      </c>
      <c r="M7" s="44" t="n">
        <f aca="false">IFERROR(J7/E7,0)</f>
        <v>1.5</v>
      </c>
      <c r="N7" s="44" t="n">
        <f aca="false">IFERROR(K7/E7,0)</f>
        <v>0.9</v>
      </c>
      <c r="O7" s="41" t="n">
        <v>3</v>
      </c>
      <c r="P7" s="41" t="n">
        <v>6</v>
      </c>
      <c r="Q7" s="1" t="n">
        <v>0.72</v>
      </c>
      <c r="R7" s="1" t="n">
        <f aca="false">IFERROR((3*F7+G7)/(3*E7),0)</f>
        <v>0.6</v>
      </c>
    </row>
    <row r="8" customFormat="false" ht="15" hidden="false" customHeight="true" outlineLevel="0" collapsed="false">
      <c r="A8" s="32" t="n">
        <v>4</v>
      </c>
      <c r="B8" s="33" t="s">
        <v>63</v>
      </c>
      <c r="C8" s="32" t="s">
        <v>64</v>
      </c>
      <c r="D8" s="32" t="s">
        <v>55</v>
      </c>
      <c r="E8" s="41" t="n">
        <v>10</v>
      </c>
      <c r="F8" s="41" t="n">
        <v>5</v>
      </c>
      <c r="G8" s="41" t="n">
        <v>3</v>
      </c>
      <c r="H8" s="41" t="n">
        <v>2</v>
      </c>
      <c r="I8" s="42" t="n">
        <f aca="false">IFERROR(F8/E8,0)</f>
        <v>0.5</v>
      </c>
      <c r="J8" s="41" t="n">
        <v>22</v>
      </c>
      <c r="K8" s="41" t="n">
        <v>12</v>
      </c>
      <c r="L8" s="43" t="n">
        <f aca="false">J8-K8</f>
        <v>10</v>
      </c>
      <c r="M8" s="44" t="n">
        <f aca="false">IFERROR(J8/E8,0)</f>
        <v>2.2</v>
      </c>
      <c r="N8" s="44" t="n">
        <f aca="false">IFERROR(K8/E8,0)</f>
        <v>1.2</v>
      </c>
      <c r="O8" s="41" t="n">
        <v>4</v>
      </c>
      <c r="P8" s="41" t="n">
        <v>5</v>
      </c>
      <c r="Q8" s="1" t="n">
        <v>0.96</v>
      </c>
      <c r="R8" s="1" t="n">
        <f aca="false">IFERROR((3*F8+G8)/(3*E8),0)</f>
        <v>0.6</v>
      </c>
    </row>
    <row r="9" customFormat="false" ht="15" hidden="false" customHeight="true" outlineLevel="0" collapsed="false">
      <c r="A9" s="23" t="n">
        <v>5</v>
      </c>
      <c r="B9" s="24" t="s">
        <v>66</v>
      </c>
      <c r="C9" s="23" t="s">
        <v>54</v>
      </c>
      <c r="D9" s="23" t="s">
        <v>67</v>
      </c>
      <c r="E9" s="41" t="n">
        <v>15</v>
      </c>
      <c r="F9" s="41" t="n">
        <v>6</v>
      </c>
      <c r="G9" s="41" t="n">
        <v>5</v>
      </c>
      <c r="H9" s="41" t="n">
        <v>4</v>
      </c>
      <c r="I9" s="42" t="n">
        <f aca="false">IFERROR(F9/E9,0)</f>
        <v>0.4</v>
      </c>
      <c r="J9" s="41" t="n">
        <v>18</v>
      </c>
      <c r="K9" s="41" t="n">
        <v>15</v>
      </c>
      <c r="L9" s="43" t="n">
        <f aca="false">J9-K9</f>
        <v>3</v>
      </c>
      <c r="M9" s="44" t="n">
        <f aca="false">IFERROR(J9/E9,0)</f>
        <v>1.2</v>
      </c>
      <c r="N9" s="44" t="n">
        <f aca="false">IFERROR(K9/E9,0)</f>
        <v>1</v>
      </c>
      <c r="O9" s="41" t="n">
        <v>4</v>
      </c>
      <c r="P9" s="41" t="s">
        <v>176</v>
      </c>
      <c r="Q9" s="1" t="n">
        <v>0.82</v>
      </c>
      <c r="R9" s="1" t="n">
        <f aca="false">IFERROR((3*F9+G9)/(3*E9),0)</f>
        <v>0.511111111111111</v>
      </c>
    </row>
    <row r="10" customFormat="false" ht="15" hidden="false" customHeight="true" outlineLevel="0" collapsed="false">
      <c r="A10" s="32" t="n">
        <v>6</v>
      </c>
      <c r="B10" s="33" t="s">
        <v>69</v>
      </c>
      <c r="C10" s="32" t="s">
        <v>64</v>
      </c>
      <c r="D10" s="32" t="s">
        <v>67</v>
      </c>
      <c r="E10" s="41" t="n">
        <v>6</v>
      </c>
      <c r="F10" s="41" t="n">
        <v>4</v>
      </c>
      <c r="G10" s="41" t="n">
        <v>2</v>
      </c>
      <c r="H10" s="41" t="n">
        <v>0</v>
      </c>
      <c r="I10" s="42" t="n">
        <f aca="false">IFERROR(F10/E10,0)</f>
        <v>0.666666666666667</v>
      </c>
      <c r="J10" s="41" t="n">
        <v>14</v>
      </c>
      <c r="K10" s="41" t="n">
        <v>2</v>
      </c>
      <c r="L10" s="43" t="n">
        <f aca="false">J10-K10</f>
        <v>12</v>
      </c>
      <c r="M10" s="44" t="n">
        <f aca="false">IFERROR(J10/E10,0)</f>
        <v>2.33333333333333</v>
      </c>
      <c r="N10" s="44" t="n">
        <f aca="false">IFERROR(K10/E10,0)</f>
        <v>0.333333333333333</v>
      </c>
      <c r="O10" s="41" t="n">
        <v>6</v>
      </c>
      <c r="P10" s="41" t="n">
        <v>4</v>
      </c>
      <c r="Q10" s="1" t="n">
        <v>0.96</v>
      </c>
      <c r="R10" s="1" t="n">
        <f aca="false">IFERROR((3*F10+G10)/(3*E10),0)</f>
        <v>0.777777777777778</v>
      </c>
    </row>
    <row r="11" customFormat="false" ht="15" hidden="false" customHeight="true" outlineLevel="0" collapsed="false">
      <c r="A11" s="26" t="n">
        <v>7</v>
      </c>
      <c r="B11" s="27" t="s">
        <v>71</v>
      </c>
      <c r="C11" s="26" t="s">
        <v>58</v>
      </c>
      <c r="D11" s="26" t="s">
        <v>67</v>
      </c>
      <c r="E11" s="41" t="n">
        <v>12</v>
      </c>
      <c r="F11" s="41" t="n">
        <v>4</v>
      </c>
      <c r="G11" s="41" t="n">
        <v>5</v>
      </c>
      <c r="H11" s="41" t="n">
        <v>3</v>
      </c>
      <c r="I11" s="42" t="n">
        <f aca="false">IFERROR(F11/E11,0)</f>
        <v>0.333333333333333</v>
      </c>
      <c r="J11" s="41" t="n">
        <v>16</v>
      </c>
      <c r="K11" s="41" t="n">
        <v>22</v>
      </c>
      <c r="L11" s="43" t="n">
        <f aca="false">J11-K11</f>
        <v>-6</v>
      </c>
      <c r="M11" s="44" t="n">
        <f aca="false">IFERROR(J11/E11,0)</f>
        <v>1.33333333333333</v>
      </c>
      <c r="N11" s="44" t="n">
        <f aca="false">IFERROR(K11/E11,0)</f>
        <v>1.83333333333333</v>
      </c>
      <c r="O11" s="41" t="n">
        <v>3</v>
      </c>
      <c r="P11" s="41" t="n">
        <v>6</v>
      </c>
      <c r="Q11" s="1" t="n">
        <v>0.72</v>
      </c>
      <c r="R11" s="1" t="n">
        <f aca="false">IFERROR((3*F11+G11)/(3*E11),0)</f>
        <v>0.472222222222222</v>
      </c>
    </row>
    <row r="12" customFormat="false" ht="15" hidden="false" customHeight="true" outlineLevel="0" collapsed="false">
      <c r="A12" s="32" t="n">
        <v>8</v>
      </c>
      <c r="B12" s="33" t="s">
        <v>73</v>
      </c>
      <c r="C12" s="32" t="s">
        <v>64</v>
      </c>
      <c r="D12" s="32" t="s">
        <v>67</v>
      </c>
      <c r="E12" s="41" t="n">
        <v>10</v>
      </c>
      <c r="F12" s="41" t="n">
        <v>5</v>
      </c>
      <c r="G12" s="41" t="n">
        <v>4</v>
      </c>
      <c r="H12" s="41" t="n">
        <v>1</v>
      </c>
      <c r="I12" s="42" t="n">
        <f aca="false">IFERROR(F12/E12,0)</f>
        <v>0.5</v>
      </c>
      <c r="J12" s="41" t="n">
        <v>19</v>
      </c>
      <c r="K12" s="41" t="n">
        <v>9</v>
      </c>
      <c r="L12" s="43" t="n">
        <f aca="false">J12-K12</f>
        <v>10</v>
      </c>
      <c r="M12" s="44" t="n">
        <f aca="false">IFERROR(J12/E12,0)</f>
        <v>1.9</v>
      </c>
      <c r="N12" s="44" t="n">
        <f aca="false">IFERROR(K12/E12,0)</f>
        <v>0.9</v>
      </c>
      <c r="O12" s="41" t="n">
        <v>4</v>
      </c>
      <c r="P12" s="41" t="n">
        <v>5</v>
      </c>
      <c r="Q12" s="1" t="n">
        <v>0.96</v>
      </c>
      <c r="R12" s="1" t="n">
        <f aca="false">IFERROR((3*F12+G12)/(3*E12),0)</f>
        <v>0.633333333333333</v>
      </c>
    </row>
    <row r="13" customFormat="false" ht="15" hidden="false" customHeight="true" outlineLevel="0" collapsed="false">
      <c r="A13" s="35" t="n">
        <v>9</v>
      </c>
      <c r="B13" s="36" t="s">
        <v>75</v>
      </c>
      <c r="C13" s="35" t="s">
        <v>76</v>
      </c>
      <c r="D13" s="35" t="s">
        <v>77</v>
      </c>
      <c r="E13" s="41" t="n">
        <v>20</v>
      </c>
      <c r="F13" s="41" t="n">
        <v>13</v>
      </c>
      <c r="G13" s="41" t="n">
        <v>4</v>
      </c>
      <c r="H13" s="41" t="n">
        <v>3</v>
      </c>
      <c r="I13" s="42" t="n">
        <f aca="false">IFERROR(F13/E13,0)</f>
        <v>0.65</v>
      </c>
      <c r="J13" s="41" t="n">
        <v>38</v>
      </c>
      <c r="K13" s="41" t="n">
        <v>15</v>
      </c>
      <c r="L13" s="43" t="n">
        <f aca="false">J13-K13</f>
        <v>23</v>
      </c>
      <c r="M13" s="44" t="n">
        <f aca="false">IFERROR(J13/E13,0)</f>
        <v>1.9</v>
      </c>
      <c r="N13" s="44" t="n">
        <f aca="false">IFERROR(K13/E13,0)</f>
        <v>0.75</v>
      </c>
      <c r="O13" s="41" t="n">
        <v>9</v>
      </c>
      <c r="P13" s="41" t="n">
        <v>2</v>
      </c>
      <c r="Q13" s="1" t="n">
        <v>1</v>
      </c>
      <c r="R13" s="1" t="n">
        <f aca="false">IFERROR((3*F13+G13)/(3*E13),0)</f>
        <v>0.716666666666667</v>
      </c>
    </row>
    <row r="14" customFormat="false" ht="15" hidden="false" customHeight="true" outlineLevel="0" collapsed="false">
      <c r="A14" s="29" t="n">
        <v>10</v>
      </c>
      <c r="B14" s="30" t="s">
        <v>79</v>
      </c>
      <c r="C14" s="29" t="s">
        <v>61</v>
      </c>
      <c r="D14" s="29" t="s">
        <v>77</v>
      </c>
      <c r="E14" s="41" t="n">
        <v>20</v>
      </c>
      <c r="F14" s="41" t="n">
        <v>13</v>
      </c>
      <c r="G14" s="41" t="n">
        <v>4</v>
      </c>
      <c r="H14" s="41" t="n">
        <v>3</v>
      </c>
      <c r="I14" s="42" t="n">
        <f aca="false">IFERROR(F14/E14,0)</f>
        <v>0.65</v>
      </c>
      <c r="J14" s="41" t="n">
        <v>33</v>
      </c>
      <c r="K14" s="41" t="n">
        <v>14</v>
      </c>
      <c r="L14" s="43" t="n">
        <f aca="false">J14-K14</f>
        <v>19</v>
      </c>
      <c r="M14" s="44" t="n">
        <f aca="false">IFERROR(J14/E14,0)</f>
        <v>1.65</v>
      </c>
      <c r="N14" s="44" t="n">
        <f aca="false">IFERROR(K14/E14,0)</f>
        <v>0.7</v>
      </c>
      <c r="O14" s="41" t="n">
        <v>11</v>
      </c>
      <c r="P14" s="41" t="n">
        <v>3</v>
      </c>
      <c r="Q14" s="1" t="n">
        <v>1</v>
      </c>
      <c r="R14" s="1" t="n">
        <f aca="false">IFERROR((3*F14+G14)/(3*E14),0)</f>
        <v>0.716666666666667</v>
      </c>
    </row>
    <row r="15" customFormat="false" ht="15" hidden="false" customHeight="true" outlineLevel="0" collapsed="false">
      <c r="A15" s="32" t="n">
        <v>11</v>
      </c>
      <c r="B15" s="33" t="s">
        <v>81</v>
      </c>
      <c r="C15" s="32" t="s">
        <v>64</v>
      </c>
      <c r="D15" s="32" t="s">
        <v>77</v>
      </c>
      <c r="E15" s="41" t="n">
        <v>6</v>
      </c>
      <c r="F15" s="41" t="n">
        <v>4</v>
      </c>
      <c r="G15" s="41" t="n">
        <v>1</v>
      </c>
      <c r="H15" s="41" t="n">
        <v>1</v>
      </c>
      <c r="I15" s="42" t="n">
        <f aca="false">IFERROR(F15/E15,0)</f>
        <v>0.666666666666667</v>
      </c>
      <c r="J15" s="41" t="n">
        <v>13</v>
      </c>
      <c r="K15" s="41" t="n">
        <v>7</v>
      </c>
      <c r="L15" s="43" t="n">
        <f aca="false">J15-K15</f>
        <v>6</v>
      </c>
      <c r="M15" s="44" t="n">
        <f aca="false">IFERROR(J15/E15,0)</f>
        <v>2.16666666666667</v>
      </c>
      <c r="N15" s="44" t="n">
        <f aca="false">IFERROR(K15/E15,0)</f>
        <v>1.16666666666667</v>
      </c>
      <c r="O15" s="41" t="n">
        <v>4</v>
      </c>
      <c r="P15" s="41" t="n">
        <v>5</v>
      </c>
      <c r="Q15" s="1" t="n">
        <v>0.96</v>
      </c>
      <c r="R15" s="1" t="n">
        <f aca="false">IFERROR((3*F15+G15)/(3*E15),0)</f>
        <v>0.722222222222222</v>
      </c>
    </row>
    <row r="16" customFormat="false" ht="15" hidden="false" customHeight="true" outlineLevel="0" collapsed="false">
      <c r="A16" s="23" t="n">
        <v>12</v>
      </c>
      <c r="B16" s="24" t="s">
        <v>82</v>
      </c>
      <c r="C16" s="23" t="s">
        <v>54</v>
      </c>
      <c r="D16" s="23" t="s">
        <v>77</v>
      </c>
      <c r="E16" s="41" t="n">
        <v>6</v>
      </c>
      <c r="F16" s="41" t="n">
        <v>3</v>
      </c>
      <c r="G16" s="41" t="n">
        <v>2</v>
      </c>
      <c r="H16" s="41" t="n">
        <v>1</v>
      </c>
      <c r="I16" s="42" t="n">
        <f aca="false">IFERROR(F16/E16,0)</f>
        <v>0.5</v>
      </c>
      <c r="J16" s="41" t="n">
        <v>9</v>
      </c>
      <c r="K16" s="41" t="n">
        <v>6</v>
      </c>
      <c r="L16" s="43" t="n">
        <f aca="false">J16-K16</f>
        <v>3</v>
      </c>
      <c r="M16" s="44" t="n">
        <f aca="false">IFERROR(J16/E16,0)</f>
        <v>1.5</v>
      </c>
      <c r="N16" s="44" t="n">
        <f aca="false">IFERROR(K16/E16,0)</f>
        <v>1</v>
      </c>
      <c r="O16" s="41" t="n">
        <v>2</v>
      </c>
      <c r="P16" s="41" t="n">
        <v>8</v>
      </c>
      <c r="Q16" s="1" t="n">
        <v>0.72</v>
      </c>
      <c r="R16" s="1" t="n">
        <f aca="false">IFERROR((3*F16+G16)/(3*E16),0)</f>
        <v>0.611111111111111</v>
      </c>
    </row>
    <row r="17" customFormat="false" ht="15" hidden="false" customHeight="true" outlineLevel="0" collapsed="false">
      <c r="A17" s="23" t="n">
        <v>13</v>
      </c>
      <c r="B17" s="24" t="s">
        <v>84</v>
      </c>
      <c r="C17" s="23" t="s">
        <v>54</v>
      </c>
      <c r="D17" s="23" t="s">
        <v>85</v>
      </c>
      <c r="E17" s="41" t="n">
        <v>21</v>
      </c>
      <c r="F17" s="41" t="n">
        <v>10</v>
      </c>
      <c r="G17" s="41" t="n">
        <v>2</v>
      </c>
      <c r="H17" s="41" t="n">
        <v>9</v>
      </c>
      <c r="I17" s="42" t="n">
        <f aca="false">IFERROR(F17/E17,0)</f>
        <v>0.476190476190476</v>
      </c>
      <c r="J17" s="41" t="n">
        <v>34</v>
      </c>
      <c r="K17" s="41" t="n">
        <v>29</v>
      </c>
      <c r="L17" s="43" t="n">
        <f aca="false">J17-K17</f>
        <v>5</v>
      </c>
      <c r="M17" s="44" t="n">
        <f aca="false">IFERROR(J17/E17,0)</f>
        <v>1.61904761904762</v>
      </c>
      <c r="N17" s="44" t="n">
        <f aca="false">IFERROR(K17/E17,0)</f>
        <v>1.38095238095238</v>
      </c>
      <c r="O17" s="41" t="n">
        <v>5</v>
      </c>
      <c r="P17" s="41" t="s">
        <v>177</v>
      </c>
      <c r="Q17" s="1" t="n">
        <v>0.85</v>
      </c>
      <c r="R17" s="1" t="n">
        <f aca="false">IFERROR((3*F17+G17)/(3*E17),0)</f>
        <v>0.507936507936508</v>
      </c>
    </row>
    <row r="18" customFormat="false" ht="15" hidden="false" customHeight="true" outlineLevel="0" collapsed="false">
      <c r="A18" s="35" t="n">
        <v>14</v>
      </c>
      <c r="B18" s="36" t="s">
        <v>87</v>
      </c>
      <c r="C18" s="35" t="s">
        <v>76</v>
      </c>
      <c r="D18" s="35" t="s">
        <v>85</v>
      </c>
      <c r="E18" s="41" t="n">
        <v>21</v>
      </c>
      <c r="F18" s="41" t="n">
        <v>7</v>
      </c>
      <c r="G18" s="41" t="n">
        <v>7</v>
      </c>
      <c r="H18" s="41" t="n">
        <v>7</v>
      </c>
      <c r="I18" s="42" t="n">
        <f aca="false">IFERROR(F18/E18,0)</f>
        <v>0.333333333333333</v>
      </c>
      <c r="J18" s="41" t="n">
        <v>17</v>
      </c>
      <c r="K18" s="41" t="n">
        <v>18</v>
      </c>
      <c r="L18" s="43" t="n">
        <f aca="false">J18-K18</f>
        <v>-1</v>
      </c>
      <c r="M18" s="44" t="n">
        <f aca="false">IFERROR(J18/E18,0)</f>
        <v>0.80952380952381</v>
      </c>
      <c r="N18" s="44" t="n">
        <f aca="false">IFERROR(K18/E18,0)</f>
        <v>0.857142857142857</v>
      </c>
      <c r="O18" s="41" t="n">
        <v>4</v>
      </c>
      <c r="P18" s="41" t="s">
        <v>178</v>
      </c>
      <c r="Q18" s="1" t="n">
        <v>1.12</v>
      </c>
      <c r="R18" s="1" t="n">
        <f aca="false">IFERROR((3*F18+G18)/(3*E18),0)</f>
        <v>0.444444444444444</v>
      </c>
    </row>
    <row r="19" customFormat="false" ht="15" hidden="false" customHeight="true" outlineLevel="0" collapsed="false">
      <c r="A19" s="26" t="n">
        <v>15</v>
      </c>
      <c r="B19" s="27" t="s">
        <v>89</v>
      </c>
      <c r="C19" s="26" t="s">
        <v>58</v>
      </c>
      <c r="D19" s="26" t="s">
        <v>85</v>
      </c>
      <c r="E19" s="41" t="n">
        <v>10</v>
      </c>
      <c r="F19" s="41" t="n">
        <v>5</v>
      </c>
      <c r="G19" s="41" t="n">
        <v>4</v>
      </c>
      <c r="H19" s="41" t="n">
        <v>1</v>
      </c>
      <c r="I19" s="42" t="n">
        <f aca="false">IFERROR(F19/E19,0)</f>
        <v>0.5</v>
      </c>
      <c r="J19" s="41" t="n">
        <v>17</v>
      </c>
      <c r="K19" s="41" t="n">
        <v>8</v>
      </c>
      <c r="L19" s="43" t="n">
        <f aca="false">J19-K19</f>
        <v>9</v>
      </c>
      <c r="M19" s="44" t="n">
        <f aca="false">IFERROR(J19/E19,0)</f>
        <v>1.7</v>
      </c>
      <c r="N19" s="44" t="n">
        <f aca="false">IFERROR(K19/E19,0)</f>
        <v>0.8</v>
      </c>
      <c r="O19" s="41" t="n">
        <v>4</v>
      </c>
      <c r="P19" s="41" t="n">
        <v>5</v>
      </c>
      <c r="Q19" s="1" t="n">
        <v>0.72</v>
      </c>
      <c r="R19" s="1" t="n">
        <f aca="false">IFERROR((3*F19+G19)/(3*E19),0)</f>
        <v>0.633333333333333</v>
      </c>
    </row>
    <row r="20" customFormat="false" ht="15" hidden="false" customHeight="true" outlineLevel="0" collapsed="false">
      <c r="A20" s="32" t="n">
        <v>16</v>
      </c>
      <c r="B20" s="33" t="s">
        <v>91</v>
      </c>
      <c r="C20" s="32" t="s">
        <v>64</v>
      </c>
      <c r="D20" s="32" t="s">
        <v>85</v>
      </c>
      <c r="E20" s="41" t="n">
        <v>8</v>
      </c>
      <c r="F20" s="41" t="n">
        <v>6</v>
      </c>
      <c r="G20" s="41" t="n">
        <v>1</v>
      </c>
      <c r="H20" s="41" t="n">
        <v>1</v>
      </c>
      <c r="I20" s="42" t="n">
        <f aca="false">IFERROR(F20/E20,0)</f>
        <v>0.75</v>
      </c>
      <c r="J20" s="41" t="n">
        <v>19</v>
      </c>
      <c r="K20" s="41" t="n">
        <v>12</v>
      </c>
      <c r="L20" s="43" t="n">
        <f aca="false">J20-K20</f>
        <v>7</v>
      </c>
      <c r="M20" s="44" t="n">
        <f aca="false">IFERROR(J20/E20,0)</f>
        <v>2.375</v>
      </c>
      <c r="N20" s="44" t="n">
        <f aca="false">IFERROR(K20/E20,0)</f>
        <v>1.5</v>
      </c>
      <c r="O20" s="41" t="n">
        <v>5</v>
      </c>
      <c r="P20" s="41" t="n">
        <v>4</v>
      </c>
      <c r="Q20" s="1" t="n">
        <v>0.96</v>
      </c>
      <c r="R20" s="1" t="n">
        <f aca="false">IFERROR((3*F20+G20)/(3*E20),0)</f>
        <v>0.791666666666667</v>
      </c>
    </row>
    <row r="21" customFormat="false" ht="15" hidden="false" customHeight="true" outlineLevel="0" collapsed="false">
      <c r="A21" s="32" t="n">
        <v>17</v>
      </c>
      <c r="B21" s="33" t="s">
        <v>93</v>
      </c>
      <c r="C21" s="32" t="s">
        <v>64</v>
      </c>
      <c r="D21" s="32" t="s">
        <v>94</v>
      </c>
      <c r="E21" s="41" t="n">
        <v>20</v>
      </c>
      <c r="F21" s="41" t="n">
        <v>13</v>
      </c>
      <c r="G21" s="41" t="n">
        <v>4</v>
      </c>
      <c r="H21" s="41" t="n">
        <v>3</v>
      </c>
      <c r="I21" s="42" t="n">
        <f aca="false">IFERROR(F21/E21,0)</f>
        <v>0.65</v>
      </c>
      <c r="J21" s="41" t="n">
        <v>40</v>
      </c>
      <c r="K21" s="41" t="n">
        <v>17</v>
      </c>
      <c r="L21" s="43" t="n">
        <f aca="false">J21-K21</f>
        <v>23</v>
      </c>
      <c r="M21" s="44" t="n">
        <f aca="false">IFERROR(J21/E21,0)</f>
        <v>2</v>
      </c>
      <c r="N21" s="44" t="n">
        <f aca="false">IFERROR(K21/E21,0)</f>
        <v>0.85</v>
      </c>
      <c r="O21" s="41" t="n">
        <v>9</v>
      </c>
      <c r="P21" s="41" t="n">
        <v>2</v>
      </c>
      <c r="Q21" s="1" t="n">
        <v>1</v>
      </c>
      <c r="R21" s="1" t="n">
        <f aca="false">IFERROR((3*F21+G21)/(3*E21),0)</f>
        <v>0.716666666666667</v>
      </c>
    </row>
    <row r="22" customFormat="false" ht="15" hidden="false" customHeight="true" outlineLevel="0" collapsed="false">
      <c r="A22" s="35" t="n">
        <v>18</v>
      </c>
      <c r="B22" s="36" t="s">
        <v>96</v>
      </c>
      <c r="C22" s="35" t="s">
        <v>76</v>
      </c>
      <c r="D22" s="35" t="s">
        <v>94</v>
      </c>
      <c r="E22" s="41" t="n">
        <v>18</v>
      </c>
      <c r="F22" s="41" t="n">
        <v>8</v>
      </c>
      <c r="G22" s="41" t="n">
        <v>8</v>
      </c>
      <c r="H22" s="41" t="n">
        <v>2</v>
      </c>
      <c r="I22" s="42" t="n">
        <f aca="false">IFERROR(F22/E22,0)</f>
        <v>0.444444444444444</v>
      </c>
      <c r="J22" s="41" t="n">
        <v>14</v>
      </c>
      <c r="K22" s="41" t="n">
        <v>5</v>
      </c>
      <c r="L22" s="43" t="n">
        <f aca="false">J22-K22</f>
        <v>9</v>
      </c>
      <c r="M22" s="44" t="n">
        <f aca="false">IFERROR(J22/E22,0)</f>
        <v>0.777777777777778</v>
      </c>
      <c r="N22" s="44" t="n">
        <f aca="false">IFERROR(K22/E22,0)</f>
        <v>0.277777777777778</v>
      </c>
      <c r="O22" s="41" t="n">
        <v>4</v>
      </c>
      <c r="P22" s="41" t="n">
        <v>5</v>
      </c>
      <c r="Q22" s="1" t="n">
        <v>1.12</v>
      </c>
      <c r="R22" s="1" t="n">
        <f aca="false">IFERROR((3*F22+G22)/(3*E22),0)</f>
        <v>0.592592592592593</v>
      </c>
    </row>
    <row r="23" customFormat="false" ht="15" hidden="false" customHeight="true" outlineLevel="0" collapsed="false">
      <c r="A23" s="29" t="n">
        <v>19</v>
      </c>
      <c r="B23" s="30" t="s">
        <v>98</v>
      </c>
      <c r="C23" s="29" t="s">
        <v>61</v>
      </c>
      <c r="D23" s="29" t="s">
        <v>94</v>
      </c>
      <c r="E23" s="41" t="n">
        <v>10</v>
      </c>
      <c r="F23" s="41" t="n">
        <v>8</v>
      </c>
      <c r="G23" s="41" t="n">
        <v>2</v>
      </c>
      <c r="H23" s="41" t="n">
        <v>0</v>
      </c>
      <c r="I23" s="42" t="n">
        <f aca="false">IFERROR(F23/E23,0)</f>
        <v>0.8</v>
      </c>
      <c r="J23" s="41" t="n">
        <v>25</v>
      </c>
      <c r="K23" s="41" t="n">
        <v>0</v>
      </c>
      <c r="L23" s="43" t="n">
        <f aca="false">J23-K23</f>
        <v>25</v>
      </c>
      <c r="M23" s="44" t="n">
        <f aca="false">IFERROR(J23/E23,0)</f>
        <v>2.5</v>
      </c>
      <c r="N23" s="44" t="n">
        <f aca="false">IFERROR(K23/E23,0)</f>
        <v>0</v>
      </c>
      <c r="O23" s="41" t="n">
        <v>4</v>
      </c>
      <c r="P23" s="41" t="n">
        <v>5</v>
      </c>
      <c r="Q23" s="1" t="n">
        <v>0.8</v>
      </c>
      <c r="R23" s="1" t="n">
        <f aca="false">IFERROR((3*F23+G23)/(3*E23),0)</f>
        <v>0.866666666666667</v>
      </c>
    </row>
    <row r="24" customFormat="false" ht="15" hidden="false" customHeight="true" outlineLevel="0" collapsed="false">
      <c r="A24" s="23" t="n">
        <v>20</v>
      </c>
      <c r="B24" s="24" t="s">
        <v>99</v>
      </c>
      <c r="C24" s="23" t="s">
        <v>54</v>
      </c>
      <c r="D24" s="23" t="s">
        <v>94</v>
      </c>
      <c r="E24" s="41" t="n">
        <v>6</v>
      </c>
      <c r="F24" s="41" t="n">
        <v>3</v>
      </c>
      <c r="G24" s="41" t="n">
        <v>3</v>
      </c>
      <c r="H24" s="41" t="n">
        <v>0</v>
      </c>
      <c r="I24" s="42" t="n">
        <f aca="false">IFERROR(F24/E24,0)</f>
        <v>0.5</v>
      </c>
      <c r="J24" s="41" t="n">
        <v>13</v>
      </c>
      <c r="K24" s="41" t="n">
        <v>3</v>
      </c>
      <c r="L24" s="43" t="n">
        <f aca="false">J24-K24</f>
        <v>10</v>
      </c>
      <c r="M24" s="44" t="n">
        <f aca="false">IFERROR(J24/E24,0)</f>
        <v>2.16666666666667</v>
      </c>
      <c r="N24" s="44" t="n">
        <f aca="false">IFERROR(K24/E24,0)</f>
        <v>0.5</v>
      </c>
      <c r="O24" s="41" t="n">
        <v>2</v>
      </c>
      <c r="P24" s="41" t="n">
        <v>8</v>
      </c>
      <c r="Q24" s="1" t="n">
        <v>0.72</v>
      </c>
      <c r="R24" s="1" t="n">
        <f aca="false">IFERROR((3*F24+G24)/(3*E24),0)</f>
        <v>0.666666666666667</v>
      </c>
    </row>
    <row r="25" customFormat="false" ht="15" hidden="false" customHeight="true" outlineLevel="0" collapsed="false">
      <c r="A25" s="32" t="n">
        <v>21</v>
      </c>
      <c r="B25" s="33" t="s">
        <v>101</v>
      </c>
      <c r="C25" s="32" t="s">
        <v>64</v>
      </c>
      <c r="D25" s="32" t="s">
        <v>102</v>
      </c>
      <c r="E25" s="41" t="n">
        <v>20</v>
      </c>
      <c r="F25" s="41" t="n">
        <v>13</v>
      </c>
      <c r="G25" s="41" t="n">
        <v>5</v>
      </c>
      <c r="H25" s="41" t="n">
        <v>2</v>
      </c>
      <c r="I25" s="42" t="n">
        <f aca="false">IFERROR(F25/E25,0)</f>
        <v>0.65</v>
      </c>
      <c r="J25" s="41" t="n">
        <v>41</v>
      </c>
      <c r="K25" s="41" t="n">
        <v>16</v>
      </c>
      <c r="L25" s="43" t="n">
        <f aca="false">J25-K25</f>
        <v>25</v>
      </c>
      <c r="M25" s="44" t="n">
        <f aca="false">IFERROR(J25/E25,0)</f>
        <v>2.05</v>
      </c>
      <c r="N25" s="44" t="n">
        <f aca="false">IFERROR(K25/E25,0)</f>
        <v>0.8</v>
      </c>
      <c r="O25" s="41" t="n">
        <v>10</v>
      </c>
      <c r="P25" s="41" t="n">
        <v>2</v>
      </c>
      <c r="Q25" s="1" t="n">
        <v>1</v>
      </c>
      <c r="R25" s="1" t="n">
        <f aca="false">IFERROR((3*F25+G25)/(3*E25),0)</f>
        <v>0.733333333333333</v>
      </c>
    </row>
    <row r="26" customFormat="false" ht="15" hidden="false" customHeight="true" outlineLevel="0" collapsed="false">
      <c r="A26" s="26" t="n">
        <v>22</v>
      </c>
      <c r="B26" s="27" t="s">
        <v>104</v>
      </c>
      <c r="C26" s="26" t="s">
        <v>58</v>
      </c>
      <c r="D26" s="26" t="s">
        <v>102</v>
      </c>
      <c r="E26" s="41" t="n">
        <v>16</v>
      </c>
      <c r="F26" s="41" t="n">
        <v>10</v>
      </c>
      <c r="G26" s="41" t="n">
        <v>4</v>
      </c>
      <c r="H26" s="41" t="n">
        <v>2</v>
      </c>
      <c r="I26" s="42" t="n">
        <f aca="false">IFERROR(F26/E26,0)</f>
        <v>0.625</v>
      </c>
      <c r="J26" s="41" t="n">
        <v>41</v>
      </c>
      <c r="K26" s="41" t="n">
        <v>10</v>
      </c>
      <c r="L26" s="43" t="n">
        <f aca="false">J26-K26</f>
        <v>31</v>
      </c>
      <c r="M26" s="44" t="n">
        <f aca="false">IFERROR(J26/E26,0)</f>
        <v>2.5625</v>
      </c>
      <c r="N26" s="44" t="n">
        <f aca="false">IFERROR(K26/E26,0)</f>
        <v>0.625</v>
      </c>
      <c r="O26" s="41" t="n">
        <v>6</v>
      </c>
      <c r="P26" s="41" t="s">
        <v>179</v>
      </c>
      <c r="Q26" s="1" t="n">
        <v>0.84</v>
      </c>
      <c r="R26" s="1" t="n">
        <f aca="false">IFERROR((3*F26+G26)/(3*E26),0)</f>
        <v>0.708333333333333</v>
      </c>
    </row>
    <row r="27" customFormat="false" ht="15" hidden="false" customHeight="true" outlineLevel="0" collapsed="false">
      <c r="A27" s="29" t="n">
        <v>23</v>
      </c>
      <c r="B27" s="30" t="s">
        <v>106</v>
      </c>
      <c r="C27" s="29" t="s">
        <v>61</v>
      </c>
      <c r="D27" s="29" t="s">
        <v>102</v>
      </c>
      <c r="E27" s="41" t="n">
        <v>10</v>
      </c>
      <c r="F27" s="41" t="n">
        <v>9</v>
      </c>
      <c r="G27" s="41" t="n">
        <v>1</v>
      </c>
      <c r="H27" s="41" t="n">
        <v>0</v>
      </c>
      <c r="I27" s="42" t="n">
        <f aca="false">IFERROR(F27/E27,0)</f>
        <v>0.9</v>
      </c>
      <c r="J27" s="41" t="n">
        <v>22</v>
      </c>
      <c r="K27" s="41" t="n">
        <v>0</v>
      </c>
      <c r="L27" s="43" t="n">
        <f aca="false">J27-K27</f>
        <v>22</v>
      </c>
      <c r="M27" s="44" t="n">
        <f aca="false">IFERROR(J27/E27,0)</f>
        <v>2.2</v>
      </c>
      <c r="N27" s="44" t="n">
        <f aca="false">IFERROR(K27/E27,0)</f>
        <v>0</v>
      </c>
      <c r="O27" s="41" t="n">
        <v>3</v>
      </c>
      <c r="P27" s="41" t="n">
        <v>6</v>
      </c>
      <c r="Q27" s="1" t="n">
        <v>0.72</v>
      </c>
      <c r="R27" s="1" t="n">
        <f aca="false">IFERROR((3*F27+G27)/(3*E27),0)</f>
        <v>0.933333333333333</v>
      </c>
    </row>
    <row r="28" customFormat="false" ht="15" hidden="false" customHeight="true" outlineLevel="0" collapsed="false">
      <c r="A28" s="32" t="n">
        <v>24</v>
      </c>
      <c r="B28" s="33" t="s">
        <v>107</v>
      </c>
      <c r="C28" s="32" t="s">
        <v>64</v>
      </c>
      <c r="D28" s="32" t="s">
        <v>102</v>
      </c>
      <c r="E28" s="41" t="n">
        <v>8</v>
      </c>
      <c r="F28" s="41" t="n">
        <v>2</v>
      </c>
      <c r="G28" s="41" t="n">
        <v>2</v>
      </c>
      <c r="H28" s="41" t="n">
        <v>4</v>
      </c>
      <c r="I28" s="42" t="n">
        <f aca="false">IFERROR(F28/E28,0)</f>
        <v>0.25</v>
      </c>
      <c r="J28" s="41" t="n">
        <v>10</v>
      </c>
      <c r="K28" s="41" t="n">
        <v>15</v>
      </c>
      <c r="L28" s="43" t="n">
        <f aca="false">J28-K28</f>
        <v>-5</v>
      </c>
      <c r="M28" s="44" t="n">
        <f aca="false">IFERROR(J28/E28,0)</f>
        <v>1.25</v>
      </c>
      <c r="N28" s="44" t="n">
        <f aca="false">IFERROR(K28/E28,0)</f>
        <v>1.875</v>
      </c>
      <c r="O28" s="41" t="n">
        <v>4</v>
      </c>
      <c r="P28" s="41" t="n">
        <v>5</v>
      </c>
      <c r="Q28" s="1" t="n">
        <v>0.96</v>
      </c>
      <c r="R28" s="1" t="n">
        <f aca="false">IFERROR((3*F28+G28)/(3*E28),0)</f>
        <v>0.333333333333333</v>
      </c>
    </row>
    <row r="29" customFormat="false" ht="15" hidden="false" customHeight="true" outlineLevel="0" collapsed="false">
      <c r="A29" s="32" t="n">
        <v>25</v>
      </c>
      <c r="B29" s="33" t="s">
        <v>109</v>
      </c>
      <c r="C29" s="32" t="s">
        <v>64</v>
      </c>
      <c r="D29" s="32" t="s">
        <v>110</v>
      </c>
      <c r="E29" s="41" t="n">
        <v>20</v>
      </c>
      <c r="F29" s="41" t="n">
        <v>12</v>
      </c>
      <c r="G29" s="41" t="n">
        <v>5</v>
      </c>
      <c r="H29" s="41" t="n">
        <v>3</v>
      </c>
      <c r="I29" s="42" t="n">
        <f aca="false">IFERROR(F29/E29,0)</f>
        <v>0.6</v>
      </c>
      <c r="J29" s="41" t="n">
        <v>39</v>
      </c>
      <c r="K29" s="41" t="n">
        <v>18</v>
      </c>
      <c r="L29" s="43" t="n">
        <f aca="false">J29-K29</f>
        <v>21</v>
      </c>
      <c r="M29" s="44" t="n">
        <f aca="false">IFERROR(J29/E29,0)</f>
        <v>1.95</v>
      </c>
      <c r="N29" s="44" t="n">
        <f aca="false">IFERROR(K29/E29,0)</f>
        <v>0.9</v>
      </c>
      <c r="O29" s="41" t="n">
        <v>8</v>
      </c>
      <c r="P29" s="41" t="n">
        <v>3</v>
      </c>
      <c r="Q29" s="1" t="n">
        <v>1</v>
      </c>
      <c r="R29" s="1" t="n">
        <f aca="false">IFERROR((3*F29+G29)/(3*E29),0)</f>
        <v>0.683333333333333</v>
      </c>
    </row>
    <row r="30" customFormat="false" ht="15" hidden="false" customHeight="true" outlineLevel="0" collapsed="false">
      <c r="A30" s="26" t="n">
        <v>26</v>
      </c>
      <c r="B30" s="27" t="s">
        <v>112</v>
      </c>
      <c r="C30" s="26" t="s">
        <v>58</v>
      </c>
      <c r="D30" s="26" t="s">
        <v>110</v>
      </c>
      <c r="E30" s="41" t="n">
        <v>10</v>
      </c>
      <c r="F30" s="41" t="n">
        <v>9</v>
      </c>
      <c r="G30" s="41" t="n">
        <v>1</v>
      </c>
      <c r="H30" s="41" t="n">
        <v>0</v>
      </c>
      <c r="I30" s="42" t="n">
        <f aca="false">IFERROR(F30/E30,0)</f>
        <v>0.9</v>
      </c>
      <c r="J30" s="41" t="n">
        <v>18</v>
      </c>
      <c r="K30" s="41" t="n">
        <v>7</v>
      </c>
      <c r="L30" s="43" t="n">
        <f aca="false">J30-K30</f>
        <v>11</v>
      </c>
      <c r="M30" s="44" t="n">
        <f aca="false">IFERROR(J30/E30,0)</f>
        <v>1.8</v>
      </c>
      <c r="N30" s="44" t="n">
        <f aca="false">IFERROR(K30/E30,0)</f>
        <v>0.7</v>
      </c>
      <c r="O30" s="41" t="n">
        <v>4</v>
      </c>
      <c r="P30" s="41" t="n">
        <v>5</v>
      </c>
      <c r="Q30" s="1" t="n">
        <v>0.72</v>
      </c>
      <c r="R30" s="1" t="n">
        <f aca="false">IFERROR((3*F30+G30)/(3*E30),0)</f>
        <v>0.933333333333333</v>
      </c>
    </row>
    <row r="31" customFormat="false" ht="15" hidden="false" customHeight="true" outlineLevel="0" collapsed="false">
      <c r="A31" s="29" t="n">
        <v>27</v>
      </c>
      <c r="B31" s="30" t="s">
        <v>113</v>
      </c>
      <c r="C31" s="29" t="s">
        <v>61</v>
      </c>
      <c r="D31" s="29" t="s">
        <v>110</v>
      </c>
      <c r="E31" s="41" t="n">
        <v>10</v>
      </c>
      <c r="F31" s="41" t="n">
        <v>8</v>
      </c>
      <c r="G31" s="41" t="n">
        <v>2</v>
      </c>
      <c r="H31" s="41" t="n">
        <v>0</v>
      </c>
      <c r="I31" s="42" t="n">
        <f aca="false">IFERROR(F31/E31,0)</f>
        <v>0.8</v>
      </c>
      <c r="J31" s="41" t="n">
        <v>20</v>
      </c>
      <c r="K31" s="41" t="n">
        <v>2</v>
      </c>
      <c r="L31" s="43" t="n">
        <f aca="false">J31-K31</f>
        <v>18</v>
      </c>
      <c r="M31" s="44" t="n">
        <f aca="false">IFERROR(J31/E31,0)</f>
        <v>2</v>
      </c>
      <c r="N31" s="44" t="n">
        <f aca="false">IFERROR(K31/E31,0)</f>
        <v>0.2</v>
      </c>
      <c r="O31" s="41" t="n">
        <v>4</v>
      </c>
      <c r="P31" s="41" t="n">
        <v>5</v>
      </c>
      <c r="Q31" s="1" t="n">
        <v>0.9</v>
      </c>
      <c r="R31" s="1" t="n">
        <f aca="false">IFERROR((3*F31+G31)/(3*E31),0)</f>
        <v>0.866666666666667</v>
      </c>
    </row>
    <row r="32" customFormat="false" ht="15" hidden="false" customHeight="true" outlineLevel="0" collapsed="false">
      <c r="A32" s="38" t="n">
        <v>28</v>
      </c>
      <c r="B32" s="39" t="s">
        <v>114</v>
      </c>
      <c r="C32" s="38" t="s">
        <v>115</v>
      </c>
      <c r="D32" s="38" t="s">
        <v>110</v>
      </c>
      <c r="E32" s="41" t="n">
        <v>5</v>
      </c>
      <c r="F32" s="41" t="n">
        <v>1</v>
      </c>
      <c r="G32" s="41" t="n">
        <v>2</v>
      </c>
      <c r="H32" s="41" t="n">
        <v>2</v>
      </c>
      <c r="I32" s="42" t="n">
        <f aca="false">IFERROR(F32/E32,0)</f>
        <v>0.2</v>
      </c>
      <c r="J32" s="41" t="n">
        <v>6</v>
      </c>
      <c r="K32" s="41" t="n">
        <v>8</v>
      </c>
      <c r="L32" s="43" t="n">
        <f aca="false">J32-K32</f>
        <v>-2</v>
      </c>
      <c r="M32" s="44" t="n">
        <f aca="false">IFERROR(J32/E32,0)</f>
        <v>1.2</v>
      </c>
      <c r="N32" s="44" t="n">
        <f aca="false">IFERROR(K32/E32,0)</f>
        <v>1.6</v>
      </c>
      <c r="O32" s="41" t="n">
        <v>2</v>
      </c>
      <c r="P32" s="41" t="s">
        <v>180</v>
      </c>
      <c r="Q32" s="1" t="n">
        <v>1</v>
      </c>
      <c r="R32" s="1" t="n">
        <f aca="false">IFERROR((3*F32+G32)/(3*E32),0)</f>
        <v>0.333333333333333</v>
      </c>
    </row>
    <row r="33" customFormat="false" ht="15" hidden="false" customHeight="true" outlineLevel="0" collapsed="false">
      <c r="A33" s="32" t="n">
        <v>29</v>
      </c>
      <c r="B33" s="33" t="s">
        <v>117</v>
      </c>
      <c r="C33" s="32" t="s">
        <v>64</v>
      </c>
      <c r="D33" s="32" t="s">
        <v>118</v>
      </c>
      <c r="E33" s="41" t="n">
        <v>20</v>
      </c>
      <c r="F33" s="41" t="n">
        <v>15</v>
      </c>
      <c r="G33" s="41" t="n">
        <v>4</v>
      </c>
      <c r="H33" s="41" t="n">
        <v>1</v>
      </c>
      <c r="I33" s="42" t="n">
        <f aca="false">IFERROR(F33/E33,0)</f>
        <v>0.75</v>
      </c>
      <c r="J33" s="41" t="n">
        <v>48</v>
      </c>
      <c r="K33" s="41" t="n">
        <v>12</v>
      </c>
      <c r="L33" s="43" t="n">
        <f aca="false">J33-K33</f>
        <v>36</v>
      </c>
      <c r="M33" s="44" t="n">
        <f aca="false">IFERROR(J33/E33,0)</f>
        <v>2.4</v>
      </c>
      <c r="N33" s="44" t="n">
        <f aca="false">IFERROR(K33/E33,0)</f>
        <v>0.6</v>
      </c>
      <c r="O33" s="41" t="n">
        <v>12</v>
      </c>
      <c r="P33" s="41" t="n">
        <v>0</v>
      </c>
      <c r="Q33" s="1" t="n">
        <v>1</v>
      </c>
      <c r="R33" s="1" t="n">
        <f aca="false">IFERROR((3*F33+G33)/(3*E33),0)</f>
        <v>0.816666666666667</v>
      </c>
    </row>
    <row r="34" customFormat="false" ht="15" hidden="false" customHeight="true" outlineLevel="0" collapsed="false">
      <c r="A34" s="35" t="n">
        <v>30</v>
      </c>
      <c r="B34" s="36" t="s">
        <v>120</v>
      </c>
      <c r="C34" s="35" t="s">
        <v>76</v>
      </c>
      <c r="D34" s="35" t="s">
        <v>118</v>
      </c>
      <c r="E34" s="41" t="n">
        <v>24</v>
      </c>
      <c r="F34" s="41" t="n">
        <v>10</v>
      </c>
      <c r="G34" s="41" t="n">
        <v>9</v>
      </c>
      <c r="H34" s="41" t="n">
        <v>5</v>
      </c>
      <c r="I34" s="42" t="n">
        <f aca="false">IFERROR(F34/E34,0)</f>
        <v>0.416666666666667</v>
      </c>
      <c r="J34" s="41" t="n">
        <v>33</v>
      </c>
      <c r="K34" s="41" t="n">
        <v>16</v>
      </c>
      <c r="L34" s="43" t="n">
        <f aca="false">J34-K34</f>
        <v>17</v>
      </c>
      <c r="M34" s="44" t="n">
        <f aca="false">IFERROR(J34/E34,0)</f>
        <v>1.375</v>
      </c>
      <c r="N34" s="44" t="n">
        <f aca="false">IFERROR(K34/E34,0)</f>
        <v>0.666666666666667</v>
      </c>
      <c r="O34" s="41" t="n">
        <v>6</v>
      </c>
      <c r="P34" s="41" t="s">
        <v>181</v>
      </c>
      <c r="Q34" s="1" t="n">
        <v>1.12</v>
      </c>
      <c r="R34" s="1" t="n">
        <f aca="false">IFERROR((3*F34+G34)/(3*E34),0)</f>
        <v>0.541666666666667</v>
      </c>
    </row>
    <row r="35" customFormat="false" ht="15" hidden="false" customHeight="true" outlineLevel="0" collapsed="false">
      <c r="A35" s="26" t="n">
        <v>31</v>
      </c>
      <c r="B35" s="27" t="s">
        <v>122</v>
      </c>
      <c r="C35" s="26" t="s">
        <v>58</v>
      </c>
      <c r="D35" s="26" t="s">
        <v>118</v>
      </c>
      <c r="E35" s="41" t="n">
        <v>12</v>
      </c>
      <c r="F35" s="41" t="n">
        <v>4</v>
      </c>
      <c r="G35" s="41" t="n">
        <v>5</v>
      </c>
      <c r="H35" s="41" t="n">
        <v>3</v>
      </c>
      <c r="I35" s="42" t="n">
        <f aca="false">IFERROR(F35/E35,0)</f>
        <v>0.333333333333333</v>
      </c>
      <c r="J35" s="41" t="n">
        <v>11</v>
      </c>
      <c r="K35" s="41" t="n">
        <v>11</v>
      </c>
      <c r="L35" s="43" t="n">
        <f aca="false">J35-K35</f>
        <v>0</v>
      </c>
      <c r="M35" s="44" t="n">
        <f aca="false">IFERROR(J35/E35,0)</f>
        <v>0.916666666666667</v>
      </c>
      <c r="N35" s="44" t="n">
        <f aca="false">IFERROR(K35/E35,0)</f>
        <v>0.916666666666667</v>
      </c>
      <c r="O35" s="41" t="n">
        <v>3</v>
      </c>
      <c r="P35" s="41" t="n">
        <v>6</v>
      </c>
      <c r="Q35" s="1" t="n">
        <v>0.72</v>
      </c>
      <c r="R35" s="1" t="n">
        <f aca="false">IFERROR((3*F35+G35)/(3*E35),0)</f>
        <v>0.472222222222222</v>
      </c>
    </row>
    <row r="36" customFormat="false" ht="15" hidden="false" customHeight="true" outlineLevel="0" collapsed="false">
      <c r="A36" s="29" t="n">
        <v>32</v>
      </c>
      <c r="B36" s="30" t="s">
        <v>124</v>
      </c>
      <c r="C36" s="29" t="s">
        <v>61</v>
      </c>
      <c r="D36" s="29" t="s">
        <v>118</v>
      </c>
      <c r="E36" s="41" t="n">
        <v>10</v>
      </c>
      <c r="F36" s="41" t="n">
        <v>7</v>
      </c>
      <c r="G36" s="41" t="n">
        <v>2</v>
      </c>
      <c r="H36" s="41" t="n">
        <v>1</v>
      </c>
      <c r="I36" s="42" t="n">
        <f aca="false">IFERROR(F36/E36,0)</f>
        <v>0.7</v>
      </c>
      <c r="J36" s="41" t="n">
        <v>16</v>
      </c>
      <c r="K36" s="41" t="n">
        <v>8</v>
      </c>
      <c r="L36" s="43" t="n">
        <f aca="false">J36-K36</f>
        <v>8</v>
      </c>
      <c r="M36" s="44" t="n">
        <f aca="false">IFERROR(J36/E36,0)</f>
        <v>1.6</v>
      </c>
      <c r="N36" s="44" t="n">
        <f aca="false">IFERROR(K36/E36,0)</f>
        <v>0.8</v>
      </c>
      <c r="O36" s="41" t="n">
        <v>3</v>
      </c>
      <c r="P36" s="41" t="n">
        <v>7</v>
      </c>
      <c r="Q36" s="1" t="n">
        <v>0.72</v>
      </c>
      <c r="R36" s="1" t="n">
        <f aca="false">IFERROR((3*F36+G36)/(3*E36),0)</f>
        <v>0.766666666666667</v>
      </c>
    </row>
    <row r="37" customFormat="false" ht="15" hidden="false" customHeight="true" outlineLevel="0" collapsed="false">
      <c r="A37" s="32" t="n">
        <v>33</v>
      </c>
      <c r="B37" s="33" t="s">
        <v>125</v>
      </c>
      <c r="C37" s="32" t="s">
        <v>64</v>
      </c>
      <c r="D37" s="32" t="s">
        <v>126</v>
      </c>
      <c r="E37" s="41" t="n">
        <v>20</v>
      </c>
      <c r="F37" s="41" t="n">
        <v>16</v>
      </c>
      <c r="G37" s="41" t="n">
        <v>3</v>
      </c>
      <c r="H37" s="41" t="n">
        <v>1</v>
      </c>
      <c r="I37" s="42" t="n">
        <f aca="false">IFERROR(F37/E37,0)</f>
        <v>0.8</v>
      </c>
      <c r="J37" s="41" t="n">
        <v>45</v>
      </c>
      <c r="K37" s="41" t="n">
        <v>11</v>
      </c>
      <c r="L37" s="43" t="n">
        <f aca="false">J37-K37</f>
        <v>34</v>
      </c>
      <c r="M37" s="44" t="n">
        <f aca="false">IFERROR(J37/E37,0)</f>
        <v>2.25</v>
      </c>
      <c r="N37" s="44" t="n">
        <f aca="false">IFERROR(K37/E37,0)</f>
        <v>0.55</v>
      </c>
      <c r="O37" s="41" t="n">
        <v>12</v>
      </c>
      <c r="P37" s="41" t="n">
        <v>1</v>
      </c>
      <c r="Q37" s="1" t="n">
        <v>1</v>
      </c>
      <c r="R37" s="1" t="n">
        <f aca="false">IFERROR((3*F37+G37)/(3*E37),0)</f>
        <v>0.85</v>
      </c>
    </row>
    <row r="38" customFormat="false" ht="15" hidden="false" customHeight="true" outlineLevel="0" collapsed="false">
      <c r="A38" s="29" t="n">
        <v>34</v>
      </c>
      <c r="B38" s="30" t="s">
        <v>128</v>
      </c>
      <c r="C38" s="29" t="s">
        <v>61</v>
      </c>
      <c r="D38" s="29" t="s">
        <v>126</v>
      </c>
      <c r="E38" s="41" t="n">
        <v>10</v>
      </c>
      <c r="F38" s="41" t="n">
        <v>7</v>
      </c>
      <c r="G38" s="41" t="n">
        <v>3</v>
      </c>
      <c r="H38" s="41" t="n">
        <v>0</v>
      </c>
      <c r="I38" s="42" t="n">
        <f aca="false">IFERROR(F38/E38,0)</f>
        <v>0.7</v>
      </c>
      <c r="J38" s="41" t="n">
        <v>22</v>
      </c>
      <c r="K38" s="41" t="n">
        <v>3</v>
      </c>
      <c r="L38" s="43" t="n">
        <f aca="false">J38-K38</f>
        <v>19</v>
      </c>
      <c r="M38" s="44" t="n">
        <f aca="false">IFERROR(J38/E38,0)</f>
        <v>2.2</v>
      </c>
      <c r="N38" s="44" t="n">
        <f aca="false">IFERROR(K38/E38,0)</f>
        <v>0.3</v>
      </c>
      <c r="O38" s="41" t="n">
        <v>5</v>
      </c>
      <c r="P38" s="41" t="n">
        <v>4</v>
      </c>
      <c r="Q38" s="1" t="n">
        <v>0.92</v>
      </c>
      <c r="R38" s="1" t="n">
        <f aca="false">IFERROR((3*F38+G38)/(3*E38),0)</f>
        <v>0.8</v>
      </c>
    </row>
    <row r="39" customFormat="false" ht="15" hidden="false" customHeight="true" outlineLevel="0" collapsed="false">
      <c r="A39" s="32" t="n">
        <v>35</v>
      </c>
      <c r="B39" s="33" t="s">
        <v>130</v>
      </c>
      <c r="C39" s="32" t="s">
        <v>64</v>
      </c>
      <c r="D39" s="32" t="s">
        <v>126</v>
      </c>
      <c r="E39" s="41" t="n">
        <v>13</v>
      </c>
      <c r="F39" s="41" t="n">
        <v>9</v>
      </c>
      <c r="G39" s="41" t="n">
        <v>2</v>
      </c>
      <c r="H39" s="41" t="n">
        <v>2</v>
      </c>
      <c r="I39" s="42" t="n">
        <f aca="false">IFERROR(F39/E39,0)</f>
        <v>0.692307692307692</v>
      </c>
      <c r="J39" s="41" t="n">
        <v>42</v>
      </c>
      <c r="K39" s="41" t="n">
        <v>14</v>
      </c>
      <c r="L39" s="43" t="n">
        <f aca="false">J39-K39</f>
        <v>28</v>
      </c>
      <c r="M39" s="44" t="n">
        <f aca="false">IFERROR(J39/E39,0)</f>
        <v>3.23076923076923</v>
      </c>
      <c r="N39" s="44" t="n">
        <f aca="false">IFERROR(K39/E39,0)</f>
        <v>1.07692307692308</v>
      </c>
      <c r="O39" s="41" t="n">
        <v>5</v>
      </c>
      <c r="P39" s="41" t="s">
        <v>182</v>
      </c>
      <c r="Q39" s="1" t="n">
        <v>0.98</v>
      </c>
      <c r="R39" s="1" t="n">
        <f aca="false">IFERROR((3*F39+G39)/(3*E39),0)</f>
        <v>0.743589743589744</v>
      </c>
    </row>
    <row r="40" customFormat="false" ht="15" hidden="false" customHeight="true" outlineLevel="0" collapsed="false">
      <c r="A40" s="26" t="n">
        <v>36</v>
      </c>
      <c r="B40" s="27" t="s">
        <v>132</v>
      </c>
      <c r="C40" s="26" t="s">
        <v>58</v>
      </c>
      <c r="D40" s="26" t="s">
        <v>126</v>
      </c>
      <c r="E40" s="41" t="n">
        <v>14</v>
      </c>
      <c r="F40" s="41" t="n">
        <v>6</v>
      </c>
      <c r="G40" s="41" t="n">
        <v>5</v>
      </c>
      <c r="H40" s="41" t="n">
        <v>3</v>
      </c>
      <c r="I40" s="42" t="n">
        <f aca="false">IFERROR(F40/E40,0)</f>
        <v>0.428571428571429</v>
      </c>
      <c r="J40" s="41" t="n">
        <v>15</v>
      </c>
      <c r="K40" s="41" t="n">
        <v>13</v>
      </c>
      <c r="L40" s="43" t="n">
        <f aca="false">J40-K40</f>
        <v>2</v>
      </c>
      <c r="M40" s="44" t="n">
        <f aca="false">IFERROR(J40/E40,0)</f>
        <v>1.07142857142857</v>
      </c>
      <c r="N40" s="44" t="n">
        <f aca="false">IFERROR(K40/E40,0)</f>
        <v>0.928571428571429</v>
      </c>
      <c r="O40" s="41" t="n">
        <v>3</v>
      </c>
      <c r="P40" s="41" t="n">
        <v>7</v>
      </c>
      <c r="Q40" s="1" t="n">
        <v>0.72</v>
      </c>
      <c r="R40" s="1" t="n">
        <f aca="false">IFERROR((3*F40+G40)/(3*E40),0)</f>
        <v>0.547619047619048</v>
      </c>
    </row>
    <row r="41" customFormat="false" ht="15" hidden="false" customHeight="true" outlineLevel="0" collapsed="false">
      <c r="A41" s="35" t="n">
        <v>37</v>
      </c>
      <c r="B41" s="36" t="s">
        <v>134</v>
      </c>
      <c r="C41" s="35" t="s">
        <v>76</v>
      </c>
      <c r="D41" s="35" t="s">
        <v>135</v>
      </c>
      <c r="E41" s="41" t="n">
        <v>20</v>
      </c>
      <c r="F41" s="41" t="n">
        <v>15</v>
      </c>
      <c r="G41" s="41" t="n">
        <v>3</v>
      </c>
      <c r="H41" s="41" t="n">
        <v>2</v>
      </c>
      <c r="I41" s="42" t="n">
        <f aca="false">IFERROR(F41/E41,0)</f>
        <v>0.75</v>
      </c>
      <c r="J41" s="41" t="n">
        <v>44</v>
      </c>
      <c r="K41" s="41" t="n">
        <v>15</v>
      </c>
      <c r="L41" s="43" t="n">
        <f aca="false">J41-K41</f>
        <v>29</v>
      </c>
      <c r="M41" s="44" t="n">
        <f aca="false">IFERROR(J41/E41,0)</f>
        <v>2.2</v>
      </c>
      <c r="N41" s="44" t="n">
        <f aca="false">IFERROR(K41/E41,0)</f>
        <v>0.75</v>
      </c>
      <c r="O41" s="41" t="n">
        <v>11</v>
      </c>
      <c r="P41" s="41" t="n">
        <v>1</v>
      </c>
      <c r="Q41" s="1" t="n">
        <v>1</v>
      </c>
      <c r="R41" s="1" t="n">
        <f aca="false">IFERROR((3*F41+G41)/(3*E41),0)</f>
        <v>0.8</v>
      </c>
    </row>
    <row r="42" customFormat="false" ht="15" hidden="false" customHeight="true" outlineLevel="0" collapsed="false">
      <c r="A42" s="32" t="n">
        <v>38</v>
      </c>
      <c r="B42" s="33" t="s">
        <v>137</v>
      </c>
      <c r="C42" s="32" t="s">
        <v>64</v>
      </c>
      <c r="D42" s="32" t="s">
        <v>135</v>
      </c>
      <c r="E42" s="41" t="n">
        <v>8</v>
      </c>
      <c r="F42" s="41" t="n">
        <v>6</v>
      </c>
      <c r="G42" s="41" t="n">
        <v>1</v>
      </c>
      <c r="H42" s="41" t="n">
        <v>1</v>
      </c>
      <c r="I42" s="42" t="n">
        <f aca="false">IFERROR(F42/E42,0)</f>
        <v>0.75</v>
      </c>
      <c r="J42" s="41" t="n">
        <v>22</v>
      </c>
      <c r="K42" s="41" t="n">
        <v>4</v>
      </c>
      <c r="L42" s="43" t="n">
        <f aca="false">J42-K42</f>
        <v>18</v>
      </c>
      <c r="M42" s="44" t="n">
        <f aca="false">IFERROR(J42/E42,0)</f>
        <v>2.75</v>
      </c>
      <c r="N42" s="44" t="n">
        <f aca="false">IFERROR(K42/E42,0)</f>
        <v>0.5</v>
      </c>
      <c r="O42" s="41" t="n">
        <v>5</v>
      </c>
      <c r="P42" s="41" t="s">
        <v>183</v>
      </c>
      <c r="Q42" s="1" t="n">
        <v>1</v>
      </c>
      <c r="R42" s="1" t="n">
        <f aca="false">IFERROR((3*F42+G42)/(3*E42),0)</f>
        <v>0.791666666666667</v>
      </c>
    </row>
    <row r="43" customFormat="false" ht="15" hidden="false" customHeight="true" outlineLevel="0" collapsed="false">
      <c r="A43" s="29" t="n">
        <v>39</v>
      </c>
      <c r="B43" s="30" t="s">
        <v>139</v>
      </c>
      <c r="C43" s="29" t="s">
        <v>61</v>
      </c>
      <c r="D43" s="29" t="s">
        <v>135</v>
      </c>
      <c r="E43" s="41" t="n">
        <v>10</v>
      </c>
      <c r="F43" s="41" t="n">
        <v>8</v>
      </c>
      <c r="G43" s="41" t="n">
        <v>1</v>
      </c>
      <c r="H43" s="41" t="n">
        <v>1</v>
      </c>
      <c r="I43" s="42" t="n">
        <f aca="false">IFERROR(F43/E43,0)</f>
        <v>0.8</v>
      </c>
      <c r="J43" s="41" t="n">
        <v>24</v>
      </c>
      <c r="K43" s="41" t="n">
        <v>8</v>
      </c>
      <c r="L43" s="43" t="n">
        <f aca="false">J43-K43</f>
        <v>16</v>
      </c>
      <c r="M43" s="44" t="n">
        <f aca="false">IFERROR(J43/E43,0)</f>
        <v>2.4</v>
      </c>
      <c r="N43" s="44" t="n">
        <f aca="false">IFERROR(K43/E43,0)</f>
        <v>0.8</v>
      </c>
      <c r="O43" s="41" t="n">
        <v>4</v>
      </c>
      <c r="P43" s="41" t="n">
        <v>5</v>
      </c>
      <c r="Q43" s="1" t="n">
        <v>0.8</v>
      </c>
      <c r="R43" s="1" t="n">
        <f aca="false">IFERROR((3*F43+G43)/(3*E43),0)</f>
        <v>0.833333333333333</v>
      </c>
    </row>
    <row r="44" customFormat="false" ht="15" hidden="false" customHeight="true" outlineLevel="0" collapsed="false">
      <c r="A44" s="26" t="n">
        <v>40</v>
      </c>
      <c r="B44" s="27" t="s">
        <v>141</v>
      </c>
      <c r="C44" s="26" t="s">
        <v>58</v>
      </c>
      <c r="D44" s="26" t="s">
        <v>135</v>
      </c>
      <c r="E44" s="41" t="n">
        <v>10</v>
      </c>
      <c r="F44" s="41" t="n">
        <v>4</v>
      </c>
      <c r="G44" s="41" t="n">
        <v>4</v>
      </c>
      <c r="H44" s="41" t="n">
        <v>2</v>
      </c>
      <c r="I44" s="42" t="n">
        <f aca="false">IFERROR(F44/E44,0)</f>
        <v>0.4</v>
      </c>
      <c r="J44" s="41" t="n">
        <v>18</v>
      </c>
      <c r="K44" s="41" t="n">
        <v>10</v>
      </c>
      <c r="L44" s="43" t="n">
        <f aca="false">J44-K44</f>
        <v>8</v>
      </c>
      <c r="M44" s="44" t="n">
        <f aca="false">IFERROR(J44/E44,0)</f>
        <v>1.8</v>
      </c>
      <c r="N44" s="44" t="n">
        <f aca="false">IFERROR(K44/E44,0)</f>
        <v>1</v>
      </c>
      <c r="O44" s="41" t="n">
        <v>2</v>
      </c>
      <c r="P44" s="41" t="n">
        <v>7</v>
      </c>
      <c r="Q44" s="1" t="n">
        <v>0.72</v>
      </c>
      <c r="R44" s="1" t="n">
        <f aca="false">IFERROR((3*F44+G44)/(3*E44),0)</f>
        <v>0.533333333333333</v>
      </c>
    </row>
    <row r="45" customFormat="false" ht="15" hidden="false" customHeight="true" outlineLevel="0" collapsed="false">
      <c r="A45" s="32" t="n">
        <v>41</v>
      </c>
      <c r="B45" s="33" t="s">
        <v>142</v>
      </c>
      <c r="C45" s="32" t="s">
        <v>64</v>
      </c>
      <c r="D45" s="32" t="s">
        <v>143</v>
      </c>
      <c r="E45" s="41" t="n">
        <v>20</v>
      </c>
      <c r="F45" s="41" t="n">
        <v>14</v>
      </c>
      <c r="G45" s="41" t="n">
        <v>3</v>
      </c>
      <c r="H45" s="41" t="n">
        <v>3</v>
      </c>
      <c r="I45" s="42" t="n">
        <f aca="false">IFERROR(F45/E45,0)</f>
        <v>0.7</v>
      </c>
      <c r="J45" s="41" t="n">
        <v>42</v>
      </c>
      <c r="K45" s="41" t="n">
        <v>16</v>
      </c>
      <c r="L45" s="43" t="n">
        <f aca="false">J45-K45</f>
        <v>26</v>
      </c>
      <c r="M45" s="44" t="n">
        <f aca="false">IFERROR(J45/E45,0)</f>
        <v>2.1</v>
      </c>
      <c r="N45" s="44" t="n">
        <f aca="false">IFERROR(K45/E45,0)</f>
        <v>0.8</v>
      </c>
      <c r="O45" s="41" t="n">
        <v>10</v>
      </c>
      <c r="P45" s="41" t="n">
        <v>2</v>
      </c>
      <c r="Q45" s="1" t="n">
        <v>1</v>
      </c>
      <c r="R45" s="1" t="n">
        <f aca="false">IFERROR((3*F45+G45)/(3*E45),0)</f>
        <v>0.75</v>
      </c>
    </row>
    <row r="46" customFormat="false" ht="15" hidden="false" customHeight="true" outlineLevel="0" collapsed="false">
      <c r="A46" s="35" t="n">
        <v>42</v>
      </c>
      <c r="B46" s="36" t="s">
        <v>145</v>
      </c>
      <c r="C46" s="35" t="s">
        <v>76</v>
      </c>
      <c r="D46" s="35" t="s">
        <v>143</v>
      </c>
      <c r="E46" s="41" t="n">
        <v>24</v>
      </c>
      <c r="F46" s="41" t="n">
        <v>11</v>
      </c>
      <c r="G46" s="41" t="n">
        <v>8</v>
      </c>
      <c r="H46" s="41" t="n">
        <v>5</v>
      </c>
      <c r="I46" s="42" t="n">
        <f aca="false">IFERROR(F46/E46,0)</f>
        <v>0.458333333333333</v>
      </c>
      <c r="J46" s="41" t="n">
        <v>40</v>
      </c>
      <c r="K46" s="41" t="n">
        <v>21</v>
      </c>
      <c r="L46" s="43" t="n">
        <f aca="false">J46-K46</f>
        <v>19</v>
      </c>
      <c r="M46" s="44" t="n">
        <f aca="false">IFERROR(J46/E46,0)</f>
        <v>1.66666666666667</v>
      </c>
      <c r="N46" s="44" t="n">
        <f aca="false">IFERROR(K46/E46,0)</f>
        <v>0.875</v>
      </c>
      <c r="O46" s="41" t="n">
        <v>6</v>
      </c>
      <c r="P46" s="41" t="s">
        <v>184</v>
      </c>
      <c r="Q46" s="1" t="n">
        <v>1.12</v>
      </c>
      <c r="R46" s="1" t="n">
        <f aca="false">IFERROR((3*F46+G46)/(3*E46),0)</f>
        <v>0.569444444444444</v>
      </c>
    </row>
    <row r="47" customFormat="false" ht="15" hidden="false" customHeight="true" outlineLevel="0" collapsed="false">
      <c r="A47" s="26" t="n">
        <v>43</v>
      </c>
      <c r="B47" s="27" t="s">
        <v>147</v>
      </c>
      <c r="C47" s="26" t="s">
        <v>58</v>
      </c>
      <c r="D47" s="26" t="s">
        <v>143</v>
      </c>
      <c r="E47" s="41" t="n">
        <v>10</v>
      </c>
      <c r="F47" s="41" t="n">
        <v>6</v>
      </c>
      <c r="G47" s="41" t="n">
        <v>3</v>
      </c>
      <c r="H47" s="41" t="n">
        <v>1</v>
      </c>
      <c r="I47" s="42" t="n">
        <f aca="false">IFERROR(F47/E47,0)</f>
        <v>0.6</v>
      </c>
      <c r="J47" s="41" t="n">
        <v>15</v>
      </c>
      <c r="K47" s="41" t="n">
        <v>8</v>
      </c>
      <c r="L47" s="43" t="n">
        <f aca="false">J47-K47</f>
        <v>7</v>
      </c>
      <c r="M47" s="44" t="n">
        <f aca="false">IFERROR(J47/E47,0)</f>
        <v>1.5</v>
      </c>
      <c r="N47" s="44" t="n">
        <f aca="false">IFERROR(K47/E47,0)</f>
        <v>0.8</v>
      </c>
      <c r="O47" s="41" t="n">
        <v>3</v>
      </c>
      <c r="P47" s="41" t="n">
        <v>6</v>
      </c>
      <c r="Q47" s="1" t="n">
        <v>0.72</v>
      </c>
      <c r="R47" s="1" t="n">
        <f aca="false">IFERROR((3*F47+G47)/(3*E47),0)</f>
        <v>0.7</v>
      </c>
    </row>
    <row r="48" customFormat="false" ht="15" hidden="false" customHeight="true" outlineLevel="0" collapsed="false">
      <c r="A48" s="29" t="n">
        <v>44</v>
      </c>
      <c r="B48" s="30" t="s">
        <v>148</v>
      </c>
      <c r="C48" s="29" t="s">
        <v>61</v>
      </c>
      <c r="D48" s="29" t="s">
        <v>143</v>
      </c>
      <c r="E48" s="41" t="n">
        <v>12</v>
      </c>
      <c r="F48" s="41" t="n">
        <v>8</v>
      </c>
      <c r="G48" s="41" t="n">
        <v>2</v>
      </c>
      <c r="H48" s="41" t="n">
        <v>2</v>
      </c>
      <c r="I48" s="42" t="n">
        <f aca="false">IFERROR(F48/E48,0)</f>
        <v>0.666666666666667</v>
      </c>
      <c r="J48" s="41" t="n">
        <v>17</v>
      </c>
      <c r="K48" s="41" t="n">
        <v>8</v>
      </c>
      <c r="L48" s="43" t="n">
        <f aca="false">J48-K48</f>
        <v>9</v>
      </c>
      <c r="M48" s="44" t="n">
        <f aca="false">IFERROR(J48/E48,0)</f>
        <v>1.41666666666667</v>
      </c>
      <c r="N48" s="44" t="n">
        <f aca="false">IFERROR(K48/E48,0)</f>
        <v>0.666666666666667</v>
      </c>
      <c r="O48" s="41" t="n">
        <v>3</v>
      </c>
      <c r="P48" s="41" t="n">
        <v>7</v>
      </c>
      <c r="Q48" s="1" t="n">
        <v>0.74</v>
      </c>
      <c r="R48" s="1" t="n">
        <f aca="false">IFERROR((3*F48+G48)/(3*E48),0)</f>
        <v>0.722222222222222</v>
      </c>
    </row>
    <row r="49" customFormat="false" ht="15" hidden="false" customHeight="true" outlineLevel="0" collapsed="false">
      <c r="A49" s="32" t="n">
        <v>45</v>
      </c>
      <c r="B49" s="33" t="s">
        <v>149</v>
      </c>
      <c r="C49" s="32" t="s">
        <v>64</v>
      </c>
      <c r="D49" s="32" t="s">
        <v>150</v>
      </c>
      <c r="E49" s="41" t="n">
        <v>20</v>
      </c>
      <c r="F49" s="41" t="n">
        <v>14</v>
      </c>
      <c r="G49" s="41" t="n">
        <v>4</v>
      </c>
      <c r="H49" s="41" t="n">
        <v>2</v>
      </c>
      <c r="I49" s="42" t="n">
        <f aca="false">IFERROR(F49/E49,0)</f>
        <v>0.7</v>
      </c>
      <c r="J49" s="41" t="n">
        <v>40</v>
      </c>
      <c r="K49" s="41" t="n">
        <v>13</v>
      </c>
      <c r="L49" s="43" t="n">
        <f aca="false">J49-K49</f>
        <v>27</v>
      </c>
      <c r="M49" s="44" t="n">
        <f aca="false">IFERROR(J49/E49,0)</f>
        <v>2</v>
      </c>
      <c r="N49" s="44" t="n">
        <f aca="false">IFERROR(K49/E49,0)</f>
        <v>0.65</v>
      </c>
      <c r="O49" s="41" t="n">
        <v>11</v>
      </c>
      <c r="P49" s="41" t="n">
        <v>2</v>
      </c>
      <c r="Q49" s="1" t="n">
        <v>1</v>
      </c>
      <c r="R49" s="1" t="n">
        <f aca="false">IFERROR((3*F49+G49)/(3*E49),0)</f>
        <v>0.766666666666667</v>
      </c>
    </row>
    <row r="50" customFormat="false" ht="15" hidden="false" customHeight="true" outlineLevel="0" collapsed="false">
      <c r="A50" s="32" t="n">
        <v>46</v>
      </c>
      <c r="B50" s="33" t="s">
        <v>152</v>
      </c>
      <c r="C50" s="32" t="s">
        <v>64</v>
      </c>
      <c r="D50" s="32" t="s">
        <v>150</v>
      </c>
      <c r="E50" s="41" t="n">
        <v>20</v>
      </c>
      <c r="F50" s="41" t="n">
        <v>12</v>
      </c>
      <c r="G50" s="41" t="n">
        <v>4</v>
      </c>
      <c r="H50" s="41" t="n">
        <v>4</v>
      </c>
      <c r="I50" s="42" t="n">
        <f aca="false">IFERROR(F50/E50,0)</f>
        <v>0.6</v>
      </c>
      <c r="J50" s="41" t="n">
        <v>34</v>
      </c>
      <c r="K50" s="41" t="n">
        <v>18</v>
      </c>
      <c r="L50" s="43" t="n">
        <f aca="false">J50-K50</f>
        <v>16</v>
      </c>
      <c r="M50" s="44" t="n">
        <f aca="false">IFERROR(J50/E50,0)</f>
        <v>1.7</v>
      </c>
      <c r="N50" s="44" t="n">
        <f aca="false">IFERROR(K50/E50,0)</f>
        <v>0.9</v>
      </c>
      <c r="O50" s="41" t="n">
        <v>8</v>
      </c>
      <c r="P50" s="41" t="n">
        <v>3</v>
      </c>
      <c r="Q50" s="1" t="n">
        <v>1</v>
      </c>
      <c r="R50" s="1" t="n">
        <f aca="false">IFERROR((3*F50+G50)/(3*E50),0)</f>
        <v>0.666666666666667</v>
      </c>
    </row>
    <row r="51" customFormat="false" ht="15" hidden="false" customHeight="true" outlineLevel="0" collapsed="false">
      <c r="A51" s="23" t="n">
        <v>47</v>
      </c>
      <c r="B51" s="24" t="s">
        <v>154</v>
      </c>
      <c r="C51" s="23" t="s">
        <v>54</v>
      </c>
      <c r="D51" s="23" t="s">
        <v>150</v>
      </c>
      <c r="E51" s="41" t="n">
        <v>6</v>
      </c>
      <c r="F51" s="41" t="n">
        <v>3</v>
      </c>
      <c r="G51" s="41" t="n">
        <v>3</v>
      </c>
      <c r="H51" s="41" t="n">
        <v>0</v>
      </c>
      <c r="I51" s="42" t="n">
        <f aca="false">IFERROR(F51/E51,0)</f>
        <v>0.5</v>
      </c>
      <c r="J51" s="41" t="n">
        <v>9</v>
      </c>
      <c r="K51" s="41" t="n">
        <v>4</v>
      </c>
      <c r="L51" s="43" t="n">
        <f aca="false">J51-K51</f>
        <v>5</v>
      </c>
      <c r="M51" s="44" t="n">
        <f aca="false">IFERROR(J51/E51,0)</f>
        <v>1.5</v>
      </c>
      <c r="N51" s="44" t="n">
        <f aca="false">IFERROR(K51/E51,0)</f>
        <v>0.666666666666667</v>
      </c>
      <c r="O51" s="41" t="n">
        <v>3</v>
      </c>
      <c r="P51" s="41" t="n">
        <v>6</v>
      </c>
      <c r="Q51" s="1" t="n">
        <v>0.72</v>
      </c>
      <c r="R51" s="1" t="n">
        <f aca="false">IFERROR((3*F51+G51)/(3*E51),0)</f>
        <v>0.666666666666667</v>
      </c>
    </row>
    <row r="52" customFormat="false" ht="15" hidden="false" customHeight="true" outlineLevel="0" collapsed="false">
      <c r="A52" s="29" t="n">
        <v>48</v>
      </c>
      <c r="B52" s="30" t="s">
        <v>156</v>
      </c>
      <c r="C52" s="29" t="s">
        <v>61</v>
      </c>
      <c r="D52" s="29" t="s">
        <v>150</v>
      </c>
      <c r="E52" s="41" t="n">
        <v>10</v>
      </c>
      <c r="F52" s="41" t="n">
        <v>8</v>
      </c>
      <c r="G52" s="41" t="n">
        <v>1</v>
      </c>
      <c r="H52" s="41" t="n">
        <v>1</v>
      </c>
      <c r="I52" s="42" t="n">
        <f aca="false">IFERROR(F52/E52,0)</f>
        <v>0.8</v>
      </c>
      <c r="J52" s="41" t="n">
        <v>23</v>
      </c>
      <c r="K52" s="41" t="n">
        <v>6</v>
      </c>
      <c r="L52" s="43" t="n">
        <f aca="false">J52-K52</f>
        <v>17</v>
      </c>
      <c r="M52" s="44" t="n">
        <f aca="false">IFERROR(J52/E52,0)</f>
        <v>2.3</v>
      </c>
      <c r="N52" s="44" t="n">
        <f aca="false">IFERROR(K52/E52,0)</f>
        <v>0.6</v>
      </c>
      <c r="O52" s="41" t="n">
        <v>4</v>
      </c>
      <c r="P52" s="41" t="n">
        <v>5</v>
      </c>
      <c r="Q52" s="1" t="n">
        <v>0.72</v>
      </c>
      <c r="R52" s="1" t="n">
        <f aca="false">IFERROR((3*F52+G52)/(3*E52),0)</f>
        <v>0.833333333333333</v>
      </c>
    </row>
  </sheetData>
  <mergeCells count="3">
    <mergeCell ref="A1:P1"/>
    <mergeCell ref="A2:P2"/>
    <mergeCell ref="A3:P3"/>
  </mergeCells>
  <conditionalFormatting sqref="I5:I5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5:L52">
    <cfRule type="colorScale" priority="3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M5:M5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5:N52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5:H52">
    <cfRule type="expression" priority="6" aboveAverage="0" equalAverage="0" bottom="0" percent="0" rank="0" text="" dxfId="0">
      <formula>$F5+$G5+$H5&lt;&gt;$E5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8"/>
    <col collapsed="false" customWidth="true" hidden="false" outlineLevel="0" max="4" min="4" style="1" width="22"/>
    <col collapsed="false" customWidth="true" hidden="false" outlineLevel="0" max="5" min="5" style="1" width="7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9" min="8" style="1" width="22"/>
    <col collapsed="false" customWidth="true" hidden="false" outlineLevel="0" max="10" min="10" style="1" width="9"/>
    <col collapsed="false" customWidth="true" hidden="false" outlineLevel="0" max="11" min="11" style="1" width="12"/>
    <col collapsed="false" customWidth="true" hidden="false" outlineLevel="0" max="12" min="12" style="1" width="30"/>
  </cols>
  <sheetData>
    <row r="1" customFormat="false" ht="30" hidden="false" customHeight="true" outlineLevel="0" collapsed="false">
      <c r="A1" s="19" t="s">
        <v>185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5" hidden="false" customHeight="true" outlineLevel="0" collapsed="false">
      <c r="A2" s="20" t="s">
        <v>186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8" hidden="false" customHeight="true" outlineLevel="0" collapsed="false">
      <c r="A3" s="21" t="s">
        <v>44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customFormat="false" ht="31.5" hidden="false" customHeight="true" outlineLevel="0" collapsed="false">
      <c r="A4" s="22" t="s">
        <v>45</v>
      </c>
      <c r="B4" s="22" t="s">
        <v>46</v>
      </c>
      <c r="C4" s="22" t="s">
        <v>48</v>
      </c>
      <c r="D4" s="22" t="s">
        <v>187</v>
      </c>
      <c r="E4" s="22" t="s">
        <v>188</v>
      </c>
      <c r="F4" s="22" t="s">
        <v>189</v>
      </c>
      <c r="G4" s="22" t="s">
        <v>190</v>
      </c>
      <c r="H4" s="22" t="s">
        <v>191</v>
      </c>
      <c r="I4" s="22" t="s">
        <v>192</v>
      </c>
      <c r="J4" s="22" t="s">
        <v>193</v>
      </c>
      <c r="K4" s="22" t="s">
        <v>194</v>
      </c>
      <c r="L4" s="22" t="s">
        <v>195</v>
      </c>
    </row>
    <row r="5" customFormat="false" ht="15" hidden="false" customHeight="true" outlineLevel="0" collapsed="false">
      <c r="A5" s="23" t="n">
        <v>1</v>
      </c>
      <c r="B5" s="24" t="s">
        <v>53</v>
      </c>
      <c r="C5" s="23" t="s">
        <v>55</v>
      </c>
      <c r="D5" s="45" t="s">
        <v>196</v>
      </c>
      <c r="E5" s="45" t="s">
        <v>197</v>
      </c>
      <c r="F5" s="41" t="n">
        <v>2</v>
      </c>
      <c r="G5" s="41" t="n">
        <v>3</v>
      </c>
      <c r="H5" s="45" t="s">
        <v>198</v>
      </c>
      <c r="I5" s="45" t="s">
        <v>199</v>
      </c>
      <c r="J5" s="46" t="n">
        <v>27.2</v>
      </c>
      <c r="K5" s="23" t="n">
        <v>17</v>
      </c>
      <c r="L5" s="25" t="s">
        <v>56</v>
      </c>
    </row>
    <row r="6" customFormat="false" ht="15" hidden="false" customHeight="true" outlineLevel="0" collapsed="false">
      <c r="A6" s="26" t="n">
        <v>2</v>
      </c>
      <c r="B6" s="27" t="s">
        <v>57</v>
      </c>
      <c r="C6" s="26" t="s">
        <v>55</v>
      </c>
      <c r="D6" s="45" t="s">
        <v>200</v>
      </c>
      <c r="E6" s="45" t="s">
        <v>201</v>
      </c>
      <c r="F6" s="41" t="n">
        <v>7</v>
      </c>
      <c r="G6" s="41" t="n">
        <v>3</v>
      </c>
      <c r="H6" s="45" t="s">
        <v>202</v>
      </c>
      <c r="I6" s="45" t="s">
        <v>203</v>
      </c>
      <c r="J6" s="46" t="n">
        <v>27.1</v>
      </c>
      <c r="K6" s="26" t="n">
        <v>11</v>
      </c>
      <c r="L6" s="28" t="s">
        <v>59</v>
      </c>
    </row>
    <row r="7" customFormat="false" ht="15" hidden="false" customHeight="true" outlineLevel="0" collapsed="false">
      <c r="A7" s="29" t="n">
        <v>3</v>
      </c>
      <c r="B7" s="30" t="s">
        <v>60</v>
      </c>
      <c r="C7" s="29" t="s">
        <v>55</v>
      </c>
      <c r="D7" s="45" t="s">
        <v>204</v>
      </c>
      <c r="E7" s="45" t="s">
        <v>205</v>
      </c>
      <c r="F7" s="41" t="n">
        <v>4</v>
      </c>
      <c r="G7" s="41" t="n">
        <v>3</v>
      </c>
      <c r="H7" s="45" t="s">
        <v>206</v>
      </c>
      <c r="I7" s="45" t="s">
        <v>207</v>
      </c>
      <c r="J7" s="46" t="n">
        <v>27.8</v>
      </c>
      <c r="K7" s="29" t="n">
        <v>4</v>
      </c>
      <c r="L7" s="31" t="s">
        <v>62</v>
      </c>
    </row>
    <row r="8" customFormat="false" ht="15" hidden="false" customHeight="true" outlineLevel="0" collapsed="false">
      <c r="A8" s="32" t="n">
        <v>4</v>
      </c>
      <c r="B8" s="33" t="s">
        <v>63</v>
      </c>
      <c r="C8" s="32" t="s">
        <v>55</v>
      </c>
      <c r="D8" s="45" t="s">
        <v>208</v>
      </c>
      <c r="E8" s="45" t="s">
        <v>209</v>
      </c>
      <c r="F8" s="41" t="n">
        <v>5</v>
      </c>
      <c r="G8" s="41" t="n">
        <v>2</v>
      </c>
      <c r="H8" s="45" t="s">
        <v>210</v>
      </c>
      <c r="I8" s="45" t="s">
        <v>211</v>
      </c>
      <c r="J8" s="46" t="n">
        <v>27.5</v>
      </c>
      <c r="K8" s="32" t="n">
        <v>10</v>
      </c>
      <c r="L8" s="34" t="s">
        <v>65</v>
      </c>
    </row>
    <row r="9" customFormat="false" ht="15" hidden="false" customHeight="true" outlineLevel="0" collapsed="false">
      <c r="A9" s="23" t="n">
        <v>5</v>
      </c>
      <c r="B9" s="24" t="s">
        <v>66</v>
      </c>
      <c r="C9" s="23" t="s">
        <v>67</v>
      </c>
      <c r="D9" s="45" t="s">
        <v>212</v>
      </c>
      <c r="E9" s="45" t="s">
        <v>213</v>
      </c>
      <c r="F9" s="41" t="n">
        <v>2</v>
      </c>
      <c r="G9" s="41" t="n">
        <v>4</v>
      </c>
      <c r="H9" s="45" t="s">
        <v>214</v>
      </c>
      <c r="I9" s="45" t="s">
        <v>215</v>
      </c>
      <c r="J9" s="46" t="n">
        <v>27</v>
      </c>
      <c r="K9" s="23" t="n">
        <v>3</v>
      </c>
      <c r="L9" s="25" t="s">
        <v>68</v>
      </c>
    </row>
    <row r="10" customFormat="false" ht="15" hidden="false" customHeight="true" outlineLevel="0" collapsed="false">
      <c r="A10" s="32" t="n">
        <v>6</v>
      </c>
      <c r="B10" s="33" t="s">
        <v>69</v>
      </c>
      <c r="C10" s="32" t="s">
        <v>67</v>
      </c>
      <c r="D10" s="45" t="s">
        <v>216</v>
      </c>
      <c r="E10" s="45" t="s">
        <v>197</v>
      </c>
      <c r="F10" s="41" t="n">
        <v>3</v>
      </c>
      <c r="G10" s="41" t="n">
        <v>4</v>
      </c>
      <c r="H10" s="45" t="s">
        <v>217</v>
      </c>
      <c r="I10" s="45" t="s">
        <v>218</v>
      </c>
      <c r="J10" s="46" t="n">
        <v>28.4</v>
      </c>
      <c r="K10" s="32" t="n">
        <v>12</v>
      </c>
      <c r="L10" s="34" t="s">
        <v>70</v>
      </c>
    </row>
    <row r="11" customFormat="false" ht="15" hidden="false" customHeight="true" outlineLevel="0" collapsed="false">
      <c r="A11" s="26" t="n">
        <v>7</v>
      </c>
      <c r="B11" s="27" t="s">
        <v>71</v>
      </c>
      <c r="C11" s="26" t="s">
        <v>67</v>
      </c>
      <c r="D11" s="45" t="s">
        <v>219</v>
      </c>
      <c r="E11" s="45" t="s">
        <v>205</v>
      </c>
      <c r="F11" s="41" t="n">
        <v>6</v>
      </c>
      <c r="G11" s="41" t="n">
        <v>4</v>
      </c>
      <c r="H11" s="45" t="s">
        <v>220</v>
      </c>
      <c r="I11" s="45" t="s">
        <v>221</v>
      </c>
      <c r="J11" s="46" t="n">
        <v>28.3</v>
      </c>
      <c r="K11" s="26" t="n">
        <v>2</v>
      </c>
      <c r="L11" s="28" t="s">
        <v>72</v>
      </c>
    </row>
    <row r="12" customFormat="false" ht="15" hidden="false" customHeight="true" outlineLevel="0" collapsed="false">
      <c r="A12" s="32" t="n">
        <v>8</v>
      </c>
      <c r="B12" s="33" t="s">
        <v>73</v>
      </c>
      <c r="C12" s="32" t="s">
        <v>67</v>
      </c>
      <c r="D12" s="45" t="s">
        <v>222</v>
      </c>
      <c r="E12" s="45" t="s">
        <v>209</v>
      </c>
      <c r="F12" s="41" t="n">
        <v>6</v>
      </c>
      <c r="G12" s="41" t="n">
        <v>3</v>
      </c>
      <c r="H12" s="45" t="s">
        <v>223</v>
      </c>
      <c r="I12" s="45" t="s">
        <v>224</v>
      </c>
      <c r="J12" s="46" t="n">
        <v>29.1</v>
      </c>
      <c r="K12" s="32" t="n">
        <v>2</v>
      </c>
      <c r="L12" s="34" t="s">
        <v>74</v>
      </c>
    </row>
    <row r="13" customFormat="false" ht="15" hidden="false" customHeight="true" outlineLevel="0" collapsed="false">
      <c r="A13" s="35" t="n">
        <v>9</v>
      </c>
      <c r="B13" s="36" t="s">
        <v>75</v>
      </c>
      <c r="C13" s="35" t="s">
        <v>77</v>
      </c>
      <c r="D13" s="45" t="s">
        <v>225</v>
      </c>
      <c r="E13" s="45" t="s">
        <v>201</v>
      </c>
      <c r="F13" s="41" t="n">
        <v>7</v>
      </c>
      <c r="G13" s="41" t="n">
        <v>5</v>
      </c>
      <c r="H13" s="45" t="s">
        <v>226</v>
      </c>
      <c r="I13" s="45" t="s">
        <v>227</v>
      </c>
      <c r="J13" s="46" t="n">
        <v>27.5</v>
      </c>
      <c r="K13" s="35" t="n">
        <v>23</v>
      </c>
      <c r="L13" s="37" t="s">
        <v>78</v>
      </c>
    </row>
    <row r="14" customFormat="false" ht="15" hidden="false" customHeight="true" outlineLevel="0" collapsed="false">
      <c r="A14" s="29" t="n">
        <v>10</v>
      </c>
      <c r="B14" s="30" t="s">
        <v>79</v>
      </c>
      <c r="C14" s="29" t="s">
        <v>77</v>
      </c>
      <c r="D14" s="45" t="s">
        <v>228</v>
      </c>
      <c r="E14" s="45" t="s">
        <v>229</v>
      </c>
      <c r="F14" s="41" t="n">
        <v>4</v>
      </c>
      <c r="G14" s="41" t="n">
        <v>6</v>
      </c>
      <c r="H14" s="45" t="s">
        <v>230</v>
      </c>
      <c r="I14" s="45" t="s">
        <v>231</v>
      </c>
      <c r="J14" s="46" t="n">
        <v>27.3</v>
      </c>
      <c r="K14" s="29" t="n">
        <v>7</v>
      </c>
      <c r="L14" s="31" t="s">
        <v>80</v>
      </c>
    </row>
    <row r="15" customFormat="false" ht="15" hidden="false" customHeight="true" outlineLevel="0" collapsed="false">
      <c r="A15" s="32" t="n">
        <v>11</v>
      </c>
      <c r="B15" s="33" t="s">
        <v>81</v>
      </c>
      <c r="C15" s="32" t="s">
        <v>77</v>
      </c>
      <c r="D15" s="45" t="s">
        <v>232</v>
      </c>
      <c r="E15" s="45" t="s">
        <v>233</v>
      </c>
      <c r="F15" s="41" t="n">
        <v>5</v>
      </c>
      <c r="G15" s="41" t="n">
        <v>3</v>
      </c>
      <c r="H15" s="45" t="s">
        <v>234</v>
      </c>
      <c r="I15" s="45" t="s">
        <v>235</v>
      </c>
      <c r="J15" s="46" t="n">
        <v>28.6</v>
      </c>
      <c r="K15" s="32" t="n">
        <v>9</v>
      </c>
      <c r="L15" s="34" t="s">
        <v>48</v>
      </c>
    </row>
    <row r="16" customFormat="false" ht="15" hidden="false" customHeight="true" outlineLevel="0" collapsed="false">
      <c r="A16" s="23" t="n">
        <v>12</v>
      </c>
      <c r="B16" s="24" t="s">
        <v>82</v>
      </c>
      <c r="C16" s="23" t="s">
        <v>77</v>
      </c>
      <c r="D16" s="45" t="s">
        <v>236</v>
      </c>
      <c r="E16" s="45" t="s">
        <v>209</v>
      </c>
      <c r="F16" s="41" t="n">
        <v>4</v>
      </c>
      <c r="G16" s="41" t="n">
        <v>1</v>
      </c>
      <c r="H16" s="45" t="s">
        <v>237</v>
      </c>
      <c r="I16" s="45" t="s">
        <v>238</v>
      </c>
      <c r="J16" s="46" t="n">
        <v>27.9</v>
      </c>
      <c r="K16" s="23" t="n">
        <v>2</v>
      </c>
      <c r="L16" s="25" t="s">
        <v>83</v>
      </c>
    </row>
    <row r="17" customFormat="false" ht="15" hidden="false" customHeight="true" outlineLevel="0" collapsed="false">
      <c r="A17" s="23" t="n">
        <v>13</v>
      </c>
      <c r="B17" s="24" t="s">
        <v>84</v>
      </c>
      <c r="C17" s="23" t="s">
        <v>85</v>
      </c>
      <c r="D17" s="45" t="s">
        <v>239</v>
      </c>
      <c r="E17" s="45" t="s">
        <v>205</v>
      </c>
      <c r="F17" s="41" t="n">
        <v>5</v>
      </c>
      <c r="G17" s="41" t="n">
        <v>5</v>
      </c>
      <c r="H17" s="45" t="s">
        <v>240</v>
      </c>
      <c r="I17" s="45" t="s">
        <v>241</v>
      </c>
      <c r="J17" s="46" t="n">
        <v>26.5</v>
      </c>
      <c r="K17" s="23" t="n">
        <v>12</v>
      </c>
      <c r="L17" s="25" t="s">
        <v>86</v>
      </c>
    </row>
    <row r="18" customFormat="false" ht="15" hidden="false" customHeight="true" outlineLevel="0" collapsed="false">
      <c r="A18" s="35" t="n">
        <v>14</v>
      </c>
      <c r="B18" s="36" t="s">
        <v>87</v>
      </c>
      <c r="C18" s="35" t="s">
        <v>85</v>
      </c>
      <c r="D18" s="45" t="s">
        <v>242</v>
      </c>
      <c r="E18" s="45" t="s">
        <v>243</v>
      </c>
      <c r="F18" s="41" t="n">
        <v>3</v>
      </c>
      <c r="G18" s="41" t="n">
        <v>3</v>
      </c>
      <c r="H18" s="45" t="s">
        <v>244</v>
      </c>
      <c r="I18" s="45" t="s">
        <v>245</v>
      </c>
      <c r="J18" s="46" t="n">
        <v>28.4</v>
      </c>
      <c r="K18" s="35" t="n">
        <v>9</v>
      </c>
      <c r="L18" s="37" t="s">
        <v>88</v>
      </c>
    </row>
    <row r="19" customFormat="false" ht="15" hidden="false" customHeight="true" outlineLevel="0" collapsed="false">
      <c r="A19" s="26" t="n">
        <v>15</v>
      </c>
      <c r="B19" s="27" t="s">
        <v>89</v>
      </c>
      <c r="C19" s="26" t="s">
        <v>85</v>
      </c>
      <c r="D19" s="45" t="s">
        <v>246</v>
      </c>
      <c r="E19" s="45" t="s">
        <v>247</v>
      </c>
      <c r="F19" s="41" t="n">
        <v>0</v>
      </c>
      <c r="G19" s="41" t="n">
        <v>0</v>
      </c>
      <c r="H19" s="45" t="s">
        <v>248</v>
      </c>
      <c r="I19" s="45" t="s">
        <v>249</v>
      </c>
      <c r="J19" s="46" t="n">
        <v>28.6</v>
      </c>
      <c r="K19" s="26" t="n">
        <v>7</v>
      </c>
      <c r="L19" s="28" t="s">
        <v>90</v>
      </c>
    </row>
    <row r="20" customFormat="false" ht="15" hidden="false" customHeight="true" outlineLevel="0" collapsed="false">
      <c r="A20" s="32" t="n">
        <v>16</v>
      </c>
      <c r="B20" s="33" t="s">
        <v>91</v>
      </c>
      <c r="C20" s="32" t="s">
        <v>85</v>
      </c>
      <c r="D20" s="45" t="s">
        <v>250</v>
      </c>
      <c r="E20" s="45" t="s">
        <v>205</v>
      </c>
      <c r="F20" s="41" t="n">
        <v>4</v>
      </c>
      <c r="G20" s="41" t="n">
        <v>5</v>
      </c>
      <c r="H20" s="45" t="s">
        <v>251</v>
      </c>
      <c r="I20" s="45" t="s">
        <v>252</v>
      </c>
      <c r="J20" s="46" t="n">
        <v>26.4</v>
      </c>
      <c r="K20" s="32" t="n">
        <v>3</v>
      </c>
      <c r="L20" s="34" t="s">
        <v>92</v>
      </c>
    </row>
    <row r="21" customFormat="false" ht="15" hidden="false" customHeight="true" outlineLevel="0" collapsed="false">
      <c r="A21" s="32" t="n">
        <v>17</v>
      </c>
      <c r="B21" s="33" t="s">
        <v>93</v>
      </c>
      <c r="C21" s="32" t="s">
        <v>94</v>
      </c>
      <c r="D21" s="45" t="s">
        <v>253</v>
      </c>
      <c r="E21" s="45" t="s">
        <v>205</v>
      </c>
      <c r="F21" s="41" t="n">
        <v>7</v>
      </c>
      <c r="G21" s="41" t="n">
        <v>6</v>
      </c>
      <c r="H21" s="45" t="s">
        <v>254</v>
      </c>
      <c r="I21" s="45" t="s">
        <v>255</v>
      </c>
      <c r="J21" s="46" t="n">
        <v>26.2</v>
      </c>
      <c r="K21" s="32" t="n">
        <v>21</v>
      </c>
      <c r="L21" s="34" t="s">
        <v>95</v>
      </c>
    </row>
    <row r="22" customFormat="false" ht="15" hidden="false" customHeight="true" outlineLevel="0" collapsed="false">
      <c r="A22" s="35" t="n">
        <v>18</v>
      </c>
      <c r="B22" s="36" t="s">
        <v>96</v>
      </c>
      <c r="C22" s="35" t="s">
        <v>94</v>
      </c>
      <c r="D22" s="45" t="s">
        <v>256</v>
      </c>
      <c r="E22" s="45" t="s">
        <v>197</v>
      </c>
      <c r="F22" s="41" t="n">
        <v>1</v>
      </c>
      <c r="G22" s="41" t="n">
        <v>3</v>
      </c>
      <c r="H22" s="45" t="s">
        <v>257</v>
      </c>
      <c r="I22" s="45" t="s">
        <v>258</v>
      </c>
      <c r="J22" s="46" t="n">
        <v>26.8</v>
      </c>
      <c r="K22" s="35" t="n">
        <v>5</v>
      </c>
      <c r="L22" s="37" t="s">
        <v>97</v>
      </c>
    </row>
    <row r="23" customFormat="false" ht="15" hidden="false" customHeight="true" outlineLevel="0" collapsed="false">
      <c r="A23" s="29" t="n">
        <v>19</v>
      </c>
      <c r="B23" s="30" t="s">
        <v>98</v>
      </c>
      <c r="C23" s="29" t="s">
        <v>94</v>
      </c>
      <c r="D23" s="45" t="s">
        <v>259</v>
      </c>
      <c r="E23" s="45" t="s">
        <v>209</v>
      </c>
      <c r="F23" s="41" t="n">
        <v>5</v>
      </c>
      <c r="G23" s="41" t="n">
        <v>2</v>
      </c>
      <c r="H23" s="45" t="s">
        <v>260</v>
      </c>
      <c r="I23" s="45" t="s">
        <v>261</v>
      </c>
      <c r="J23" s="46" t="n">
        <v>27.4</v>
      </c>
      <c r="K23" s="29" t="n">
        <v>4</v>
      </c>
      <c r="L23" s="31" t="s">
        <v>48</v>
      </c>
    </row>
    <row r="24" customFormat="false" ht="15" hidden="false" customHeight="true" outlineLevel="0" collapsed="false">
      <c r="A24" s="23" t="n">
        <v>20</v>
      </c>
      <c r="B24" s="24" t="s">
        <v>99</v>
      </c>
      <c r="C24" s="23" t="s">
        <v>94</v>
      </c>
      <c r="D24" s="45" t="s">
        <v>262</v>
      </c>
      <c r="E24" s="45" t="s">
        <v>233</v>
      </c>
      <c r="F24" s="41" t="n">
        <v>2</v>
      </c>
      <c r="G24" s="41" t="n">
        <v>1</v>
      </c>
      <c r="H24" s="45" t="s">
        <v>263</v>
      </c>
      <c r="I24" s="45" t="s">
        <v>264</v>
      </c>
      <c r="J24" s="46" t="n">
        <v>28.6</v>
      </c>
      <c r="K24" s="23" t="n">
        <v>0</v>
      </c>
      <c r="L24" s="25" t="s">
        <v>100</v>
      </c>
    </row>
    <row r="25" customFormat="false" ht="15" hidden="false" customHeight="true" outlineLevel="0" collapsed="false">
      <c r="A25" s="32" t="n">
        <v>21</v>
      </c>
      <c r="B25" s="33" t="s">
        <v>101</v>
      </c>
      <c r="C25" s="32" t="s">
        <v>102</v>
      </c>
      <c r="D25" s="45" t="s">
        <v>265</v>
      </c>
      <c r="E25" s="45" t="s">
        <v>201</v>
      </c>
      <c r="F25" s="41" t="n">
        <v>6</v>
      </c>
      <c r="G25" s="41" t="n">
        <v>5</v>
      </c>
      <c r="H25" s="45" t="s">
        <v>266</v>
      </c>
      <c r="I25" s="45" t="s">
        <v>267</v>
      </c>
      <c r="J25" s="46" t="n">
        <v>27.4</v>
      </c>
      <c r="K25" s="32" t="n">
        <v>12</v>
      </c>
      <c r="L25" s="34" t="s">
        <v>103</v>
      </c>
    </row>
    <row r="26" customFormat="false" ht="15" hidden="false" customHeight="true" outlineLevel="0" collapsed="false">
      <c r="A26" s="26" t="n">
        <v>22</v>
      </c>
      <c r="B26" s="27" t="s">
        <v>104</v>
      </c>
      <c r="C26" s="26" t="s">
        <v>102</v>
      </c>
      <c r="D26" s="45" t="s">
        <v>268</v>
      </c>
      <c r="E26" s="45" t="s">
        <v>205</v>
      </c>
      <c r="F26" s="41" t="n">
        <v>5</v>
      </c>
      <c r="G26" s="41" t="n">
        <v>4</v>
      </c>
      <c r="H26" s="45" t="s">
        <v>269</v>
      </c>
      <c r="I26" s="45" t="s">
        <v>270</v>
      </c>
      <c r="J26" s="46" t="n">
        <v>26.9</v>
      </c>
      <c r="K26" s="26" t="n">
        <v>8</v>
      </c>
      <c r="L26" s="28" t="s">
        <v>105</v>
      </c>
    </row>
    <row r="27" customFormat="false" ht="15" hidden="false" customHeight="true" outlineLevel="0" collapsed="false">
      <c r="A27" s="29" t="n">
        <v>23</v>
      </c>
      <c r="B27" s="30" t="s">
        <v>106</v>
      </c>
      <c r="C27" s="29" t="s">
        <v>102</v>
      </c>
      <c r="D27" s="45" t="s">
        <v>271</v>
      </c>
      <c r="E27" s="45" t="s">
        <v>205</v>
      </c>
      <c r="F27" s="41" t="n">
        <v>3</v>
      </c>
      <c r="G27" s="41" t="n">
        <v>2</v>
      </c>
      <c r="H27" s="45" t="s">
        <v>272</v>
      </c>
      <c r="I27" s="45" t="s">
        <v>273</v>
      </c>
      <c r="J27" s="46" t="n">
        <v>27.6</v>
      </c>
      <c r="K27" s="29" t="n">
        <v>7</v>
      </c>
      <c r="L27" s="31" t="s">
        <v>48</v>
      </c>
    </row>
    <row r="28" customFormat="false" ht="15" hidden="false" customHeight="true" outlineLevel="0" collapsed="false">
      <c r="A28" s="32" t="n">
        <v>24</v>
      </c>
      <c r="B28" s="33" t="s">
        <v>107</v>
      </c>
      <c r="C28" s="32" t="s">
        <v>102</v>
      </c>
      <c r="D28" s="45" t="s">
        <v>274</v>
      </c>
      <c r="E28" s="45" t="s">
        <v>209</v>
      </c>
      <c r="F28" s="41" t="n">
        <v>6</v>
      </c>
      <c r="G28" s="41" t="n">
        <v>2</v>
      </c>
      <c r="H28" s="45" t="s">
        <v>275</v>
      </c>
      <c r="I28" s="45" t="s">
        <v>276</v>
      </c>
      <c r="J28" s="46" t="n">
        <v>26.7</v>
      </c>
      <c r="K28" s="32" t="n">
        <v>13</v>
      </c>
      <c r="L28" s="34" t="s">
        <v>108</v>
      </c>
    </row>
    <row r="29" customFormat="false" ht="15" hidden="false" customHeight="true" outlineLevel="0" collapsed="false">
      <c r="A29" s="32" t="n">
        <v>25</v>
      </c>
      <c r="B29" s="33" t="s">
        <v>109</v>
      </c>
      <c r="C29" s="32" t="s">
        <v>110</v>
      </c>
      <c r="D29" s="45" t="s">
        <v>277</v>
      </c>
      <c r="E29" s="45" t="s">
        <v>205</v>
      </c>
      <c r="F29" s="41" t="n">
        <v>4</v>
      </c>
      <c r="G29" s="41" t="n">
        <v>8</v>
      </c>
      <c r="H29" s="45" t="s">
        <v>278</v>
      </c>
      <c r="I29" s="45" t="s">
        <v>279</v>
      </c>
      <c r="J29" s="46" t="n">
        <v>28.5</v>
      </c>
      <c r="K29" s="32" t="n">
        <v>14</v>
      </c>
      <c r="L29" s="34" t="s">
        <v>111</v>
      </c>
    </row>
    <row r="30" customFormat="false" ht="15" hidden="false" customHeight="true" outlineLevel="0" collapsed="false">
      <c r="A30" s="26" t="n">
        <v>26</v>
      </c>
      <c r="B30" s="27" t="s">
        <v>112</v>
      </c>
      <c r="C30" s="26" t="s">
        <v>110</v>
      </c>
      <c r="D30" s="45" t="s">
        <v>280</v>
      </c>
      <c r="E30" s="45" t="s">
        <v>209</v>
      </c>
      <c r="F30" s="41" t="n">
        <v>6</v>
      </c>
      <c r="G30" s="41" t="n">
        <v>2</v>
      </c>
      <c r="H30" s="45" t="s">
        <v>281</v>
      </c>
      <c r="I30" s="45" t="s">
        <v>282</v>
      </c>
      <c r="J30" s="46" t="n">
        <v>28.8</v>
      </c>
      <c r="K30" s="26" t="n">
        <v>7</v>
      </c>
      <c r="L30" s="28" t="s">
        <v>48</v>
      </c>
    </row>
    <row r="31" customFormat="false" ht="15" hidden="false" customHeight="true" outlineLevel="0" collapsed="false">
      <c r="A31" s="29" t="n">
        <v>27</v>
      </c>
      <c r="B31" s="30" t="s">
        <v>113</v>
      </c>
      <c r="C31" s="29" t="s">
        <v>110</v>
      </c>
      <c r="D31" s="45" t="s">
        <v>283</v>
      </c>
      <c r="E31" s="45" t="s">
        <v>243</v>
      </c>
      <c r="F31" s="41" t="n">
        <v>9</v>
      </c>
      <c r="G31" s="41" t="n">
        <v>3</v>
      </c>
      <c r="H31" s="45" t="s">
        <v>284</v>
      </c>
      <c r="I31" s="45" t="s">
        <v>285</v>
      </c>
      <c r="J31" s="46" t="n">
        <v>28.1</v>
      </c>
      <c r="K31" s="29" t="n">
        <v>4</v>
      </c>
      <c r="L31" s="31" t="s">
        <v>48</v>
      </c>
    </row>
    <row r="32" customFormat="false" ht="15" hidden="false" customHeight="true" outlineLevel="0" collapsed="false">
      <c r="A32" s="38" t="n">
        <v>28</v>
      </c>
      <c r="B32" s="39" t="s">
        <v>114</v>
      </c>
      <c r="C32" s="38" t="s">
        <v>110</v>
      </c>
      <c r="D32" s="45" t="s">
        <v>286</v>
      </c>
      <c r="E32" s="45" t="s">
        <v>209</v>
      </c>
      <c r="F32" s="41" t="n">
        <v>7</v>
      </c>
      <c r="G32" s="41" t="n">
        <v>1</v>
      </c>
      <c r="H32" s="45" t="s">
        <v>287</v>
      </c>
      <c r="I32" s="45" t="s">
        <v>288</v>
      </c>
      <c r="J32" s="46" t="n">
        <v>27.4</v>
      </c>
      <c r="K32" s="38" t="n">
        <v>3</v>
      </c>
      <c r="L32" s="40" t="s">
        <v>116</v>
      </c>
    </row>
    <row r="33" customFormat="false" ht="15" hidden="false" customHeight="true" outlineLevel="0" collapsed="false">
      <c r="A33" s="32" t="n">
        <v>29</v>
      </c>
      <c r="B33" s="33" t="s">
        <v>117</v>
      </c>
      <c r="C33" s="32" t="s">
        <v>118</v>
      </c>
      <c r="D33" s="45" t="s">
        <v>289</v>
      </c>
      <c r="E33" s="45" t="s">
        <v>243</v>
      </c>
      <c r="F33" s="41" t="n">
        <v>8</v>
      </c>
      <c r="G33" s="41" t="n">
        <v>6</v>
      </c>
      <c r="H33" s="45" t="s">
        <v>290</v>
      </c>
      <c r="I33" s="45" t="s">
        <v>291</v>
      </c>
      <c r="J33" s="46" t="n">
        <v>26.4</v>
      </c>
      <c r="K33" s="32" t="n">
        <v>17</v>
      </c>
      <c r="L33" s="34" t="s">
        <v>119</v>
      </c>
    </row>
    <row r="34" customFormat="false" ht="15" hidden="false" customHeight="true" outlineLevel="0" collapsed="false">
      <c r="A34" s="35" t="n">
        <v>30</v>
      </c>
      <c r="B34" s="36" t="s">
        <v>120</v>
      </c>
      <c r="C34" s="35" t="s">
        <v>118</v>
      </c>
      <c r="D34" s="45" t="s">
        <v>292</v>
      </c>
      <c r="E34" s="45" t="s">
        <v>233</v>
      </c>
      <c r="F34" s="41" t="n">
        <v>5</v>
      </c>
      <c r="G34" s="41" t="n">
        <v>4</v>
      </c>
      <c r="H34" s="45" t="s">
        <v>293</v>
      </c>
      <c r="I34" s="45" t="s">
        <v>294</v>
      </c>
      <c r="J34" s="46" t="n">
        <v>27.6</v>
      </c>
      <c r="K34" s="35" t="n">
        <v>14</v>
      </c>
      <c r="L34" s="37" t="s">
        <v>121</v>
      </c>
    </row>
    <row r="35" customFormat="false" ht="15" hidden="false" customHeight="true" outlineLevel="0" collapsed="false">
      <c r="A35" s="26" t="n">
        <v>31</v>
      </c>
      <c r="B35" s="27" t="s">
        <v>122</v>
      </c>
      <c r="C35" s="26" t="s">
        <v>118</v>
      </c>
      <c r="D35" s="45" t="s">
        <v>295</v>
      </c>
      <c r="E35" s="45" t="s">
        <v>201</v>
      </c>
      <c r="F35" s="41" t="n">
        <v>4</v>
      </c>
      <c r="G35" s="41" t="n">
        <v>3</v>
      </c>
      <c r="H35" s="45" t="s">
        <v>296</v>
      </c>
      <c r="I35" s="45" t="s">
        <v>297</v>
      </c>
      <c r="J35" s="46" t="n">
        <v>28.4</v>
      </c>
      <c r="K35" s="26" t="n">
        <v>7</v>
      </c>
      <c r="L35" s="28" t="s">
        <v>123</v>
      </c>
    </row>
    <row r="36" customFormat="false" ht="15" hidden="false" customHeight="true" outlineLevel="0" collapsed="false">
      <c r="A36" s="29" t="n">
        <v>32</v>
      </c>
      <c r="B36" s="30" t="s">
        <v>124</v>
      </c>
      <c r="C36" s="29" t="s">
        <v>118</v>
      </c>
      <c r="D36" s="45" t="s">
        <v>298</v>
      </c>
      <c r="E36" s="45" t="s">
        <v>205</v>
      </c>
      <c r="F36" s="41" t="n">
        <v>3</v>
      </c>
      <c r="G36" s="41" t="n">
        <v>2</v>
      </c>
      <c r="H36" s="45" t="s">
        <v>299</v>
      </c>
      <c r="I36" s="45" t="s">
        <v>300</v>
      </c>
      <c r="J36" s="46" t="n">
        <v>28.5</v>
      </c>
      <c r="K36" s="29" t="n">
        <v>0</v>
      </c>
      <c r="L36" s="31" t="s">
        <v>100</v>
      </c>
    </row>
    <row r="37" customFormat="false" ht="15" hidden="false" customHeight="true" outlineLevel="0" collapsed="false">
      <c r="A37" s="32" t="n">
        <v>33</v>
      </c>
      <c r="B37" s="33" t="s">
        <v>125</v>
      </c>
      <c r="C37" s="32" t="s">
        <v>126</v>
      </c>
      <c r="D37" s="45" t="s">
        <v>301</v>
      </c>
      <c r="E37" s="45" t="s">
        <v>209</v>
      </c>
      <c r="F37" s="41" t="n">
        <v>9</v>
      </c>
      <c r="G37" s="41" t="n">
        <v>4</v>
      </c>
      <c r="H37" s="45" t="s">
        <v>302</v>
      </c>
      <c r="I37" s="45" t="s">
        <v>303</v>
      </c>
      <c r="J37" s="46" t="n">
        <v>27.1</v>
      </c>
      <c r="K37" s="32" t="n">
        <v>17</v>
      </c>
      <c r="L37" s="34" t="s">
        <v>127</v>
      </c>
    </row>
    <row r="38" customFormat="false" ht="15" hidden="false" customHeight="true" outlineLevel="0" collapsed="false">
      <c r="A38" s="29" t="n">
        <v>34</v>
      </c>
      <c r="B38" s="30" t="s">
        <v>128</v>
      </c>
      <c r="C38" s="29" t="s">
        <v>126</v>
      </c>
      <c r="D38" s="45" t="s">
        <v>304</v>
      </c>
      <c r="E38" s="45" t="s">
        <v>201</v>
      </c>
      <c r="F38" s="41" t="n">
        <v>5</v>
      </c>
      <c r="G38" s="41" t="n">
        <v>4</v>
      </c>
      <c r="H38" s="45" t="s">
        <v>305</v>
      </c>
      <c r="I38" s="45" t="s">
        <v>306</v>
      </c>
      <c r="J38" s="46" t="n">
        <v>28.2</v>
      </c>
      <c r="K38" s="29" t="n">
        <v>4</v>
      </c>
      <c r="L38" s="31" t="s">
        <v>129</v>
      </c>
    </row>
    <row r="39" customFormat="false" ht="15" hidden="false" customHeight="true" outlineLevel="0" collapsed="false">
      <c r="A39" s="32" t="n">
        <v>35</v>
      </c>
      <c r="B39" s="33" t="s">
        <v>130</v>
      </c>
      <c r="C39" s="32" t="s">
        <v>126</v>
      </c>
      <c r="D39" s="45" t="s">
        <v>307</v>
      </c>
      <c r="E39" s="45" t="s">
        <v>209</v>
      </c>
      <c r="F39" s="41" t="n">
        <v>12</v>
      </c>
      <c r="G39" s="41" t="n">
        <v>2</v>
      </c>
      <c r="H39" s="45" t="s">
        <v>308</v>
      </c>
      <c r="I39" s="45" t="s">
        <v>309</v>
      </c>
      <c r="J39" s="46" t="n">
        <v>27</v>
      </c>
      <c r="K39" s="32" t="n">
        <v>4</v>
      </c>
      <c r="L39" s="34" t="s">
        <v>131</v>
      </c>
    </row>
    <row r="40" customFormat="false" ht="15" hidden="false" customHeight="true" outlineLevel="0" collapsed="false">
      <c r="A40" s="26" t="n">
        <v>36</v>
      </c>
      <c r="B40" s="27" t="s">
        <v>132</v>
      </c>
      <c r="C40" s="26" t="s">
        <v>126</v>
      </c>
      <c r="D40" s="45" t="s">
        <v>310</v>
      </c>
      <c r="E40" s="45" t="s">
        <v>209</v>
      </c>
      <c r="F40" s="41" t="n">
        <v>5</v>
      </c>
      <c r="G40" s="41" t="n">
        <v>1</v>
      </c>
      <c r="H40" s="45" t="s">
        <v>311</v>
      </c>
      <c r="I40" s="45" t="s">
        <v>312</v>
      </c>
      <c r="J40" s="46" t="n">
        <v>27.5</v>
      </c>
      <c r="K40" s="26" t="n">
        <v>2</v>
      </c>
      <c r="L40" s="28" t="s">
        <v>133</v>
      </c>
    </row>
    <row r="41" customFormat="false" ht="15" hidden="false" customHeight="true" outlineLevel="0" collapsed="false">
      <c r="A41" s="35" t="n">
        <v>37</v>
      </c>
      <c r="B41" s="36" t="s">
        <v>134</v>
      </c>
      <c r="C41" s="35" t="s">
        <v>135</v>
      </c>
      <c r="D41" s="45" t="s">
        <v>313</v>
      </c>
      <c r="E41" s="45" t="s">
        <v>243</v>
      </c>
      <c r="F41" s="41" t="n">
        <v>6</v>
      </c>
      <c r="G41" s="41" t="n">
        <v>7</v>
      </c>
      <c r="H41" s="45" t="s">
        <v>314</v>
      </c>
      <c r="I41" s="45" t="s">
        <v>315</v>
      </c>
      <c r="J41" s="46" t="n">
        <v>28.3</v>
      </c>
      <c r="K41" s="35" t="n">
        <v>19</v>
      </c>
      <c r="L41" s="37" t="s">
        <v>136</v>
      </c>
    </row>
    <row r="42" customFormat="false" ht="15" hidden="false" customHeight="true" outlineLevel="0" collapsed="false">
      <c r="A42" s="32" t="n">
        <v>38</v>
      </c>
      <c r="B42" s="33" t="s">
        <v>137</v>
      </c>
      <c r="C42" s="32" t="s">
        <v>135</v>
      </c>
      <c r="D42" s="45" t="s">
        <v>316</v>
      </c>
      <c r="E42" s="45" t="s">
        <v>205</v>
      </c>
      <c r="F42" s="41" t="n">
        <v>4</v>
      </c>
      <c r="G42" s="41" t="n">
        <v>4</v>
      </c>
      <c r="H42" s="45" t="s">
        <v>317</v>
      </c>
      <c r="I42" s="45" t="s">
        <v>318</v>
      </c>
      <c r="J42" s="46" t="n">
        <v>27.9</v>
      </c>
      <c r="K42" s="32" t="n">
        <v>8</v>
      </c>
      <c r="L42" s="34" t="s">
        <v>138</v>
      </c>
    </row>
    <row r="43" customFormat="false" ht="15" hidden="false" customHeight="true" outlineLevel="0" collapsed="false">
      <c r="A43" s="29" t="n">
        <v>39</v>
      </c>
      <c r="B43" s="30" t="s">
        <v>139</v>
      </c>
      <c r="C43" s="29" t="s">
        <v>135</v>
      </c>
      <c r="D43" s="45" t="s">
        <v>319</v>
      </c>
      <c r="E43" s="45" t="s">
        <v>243</v>
      </c>
      <c r="F43" s="41" t="n">
        <v>5</v>
      </c>
      <c r="G43" s="41" t="n">
        <v>4</v>
      </c>
      <c r="H43" s="45" t="s">
        <v>320</v>
      </c>
      <c r="I43" s="45" t="s">
        <v>321</v>
      </c>
      <c r="J43" s="46" t="n">
        <v>27.9</v>
      </c>
      <c r="K43" s="29" t="n">
        <v>5</v>
      </c>
      <c r="L43" s="31" t="s">
        <v>140</v>
      </c>
    </row>
    <row r="44" customFormat="false" ht="15" hidden="false" customHeight="true" outlineLevel="0" collapsed="false">
      <c r="A44" s="26" t="n">
        <v>40</v>
      </c>
      <c r="B44" s="27" t="s">
        <v>141</v>
      </c>
      <c r="C44" s="26" t="s">
        <v>135</v>
      </c>
      <c r="D44" s="45" t="s">
        <v>322</v>
      </c>
      <c r="E44" s="45" t="s">
        <v>243</v>
      </c>
      <c r="F44" s="41" t="n">
        <v>4</v>
      </c>
      <c r="G44" s="41" t="n">
        <v>3</v>
      </c>
      <c r="H44" s="45" t="s">
        <v>323</v>
      </c>
      <c r="I44" s="45" t="s">
        <v>324</v>
      </c>
      <c r="J44" s="46" t="n">
        <v>27.2</v>
      </c>
      <c r="K44" s="26" t="n">
        <v>0</v>
      </c>
      <c r="L44" s="28" t="s">
        <v>100</v>
      </c>
    </row>
    <row r="45" customFormat="false" ht="15" hidden="false" customHeight="true" outlineLevel="0" collapsed="false">
      <c r="A45" s="32" t="n">
        <v>41</v>
      </c>
      <c r="B45" s="33" t="s">
        <v>142</v>
      </c>
      <c r="C45" s="32" t="s">
        <v>143</v>
      </c>
      <c r="D45" s="45" t="s">
        <v>325</v>
      </c>
      <c r="E45" s="45" t="s">
        <v>209</v>
      </c>
      <c r="F45" s="41" t="n">
        <v>10</v>
      </c>
      <c r="G45" s="41" t="n">
        <v>2</v>
      </c>
      <c r="H45" s="45" t="s">
        <v>326</v>
      </c>
      <c r="I45" s="45" t="s">
        <v>327</v>
      </c>
      <c r="J45" s="46" t="n">
        <v>28.9</v>
      </c>
      <c r="K45" s="32" t="n">
        <v>9</v>
      </c>
      <c r="L45" s="34" t="s">
        <v>144</v>
      </c>
    </row>
    <row r="46" customFormat="false" ht="15" hidden="false" customHeight="true" outlineLevel="0" collapsed="false">
      <c r="A46" s="35" t="n">
        <v>42</v>
      </c>
      <c r="B46" s="36" t="s">
        <v>145</v>
      </c>
      <c r="C46" s="35" t="s">
        <v>143</v>
      </c>
      <c r="D46" s="45" t="s">
        <v>328</v>
      </c>
      <c r="E46" s="45" t="s">
        <v>205</v>
      </c>
      <c r="F46" s="41" t="n">
        <v>6</v>
      </c>
      <c r="G46" s="41" t="n">
        <v>7</v>
      </c>
      <c r="H46" s="45" t="s">
        <v>329</v>
      </c>
      <c r="I46" s="45" t="s">
        <v>330</v>
      </c>
      <c r="J46" s="46" t="n">
        <v>27.8</v>
      </c>
      <c r="K46" s="35" t="n">
        <v>7</v>
      </c>
      <c r="L46" s="37" t="s">
        <v>146</v>
      </c>
    </row>
    <row r="47" customFormat="false" ht="15" hidden="false" customHeight="true" outlineLevel="0" collapsed="false">
      <c r="A47" s="26" t="n">
        <v>43</v>
      </c>
      <c r="B47" s="27" t="s">
        <v>147</v>
      </c>
      <c r="C47" s="26" t="s">
        <v>143</v>
      </c>
      <c r="D47" s="45" t="s">
        <v>331</v>
      </c>
      <c r="E47" s="45" t="s">
        <v>332</v>
      </c>
      <c r="F47" s="41" t="n">
        <v>1</v>
      </c>
      <c r="G47" s="41" t="n">
        <v>0</v>
      </c>
      <c r="H47" s="45" t="s">
        <v>333</v>
      </c>
      <c r="I47" s="45" t="s">
        <v>334</v>
      </c>
      <c r="J47" s="46" t="n">
        <v>26.7</v>
      </c>
      <c r="K47" s="26" t="n">
        <v>0</v>
      </c>
      <c r="L47" s="28" t="s">
        <v>100</v>
      </c>
    </row>
    <row r="48" customFormat="false" ht="15" hidden="false" customHeight="true" outlineLevel="0" collapsed="false">
      <c r="A48" s="29" t="n">
        <v>44</v>
      </c>
      <c r="B48" s="30" t="s">
        <v>148</v>
      </c>
      <c r="C48" s="29" t="s">
        <v>143</v>
      </c>
      <c r="D48" s="45" t="s">
        <v>335</v>
      </c>
      <c r="E48" s="45" t="s">
        <v>209</v>
      </c>
      <c r="F48" s="41" t="n">
        <v>4</v>
      </c>
      <c r="G48" s="41" t="n">
        <v>1</v>
      </c>
      <c r="H48" s="45" t="s">
        <v>336</v>
      </c>
      <c r="I48" s="45" t="s">
        <v>337</v>
      </c>
      <c r="J48" s="46" t="n">
        <v>28.7</v>
      </c>
      <c r="K48" s="29" t="n">
        <v>3</v>
      </c>
      <c r="L48" s="31" t="s">
        <v>83</v>
      </c>
    </row>
    <row r="49" customFormat="false" ht="15" hidden="false" customHeight="true" outlineLevel="0" collapsed="false">
      <c r="A49" s="32" t="n">
        <v>45</v>
      </c>
      <c r="B49" s="33" t="s">
        <v>149</v>
      </c>
      <c r="C49" s="32" t="s">
        <v>150</v>
      </c>
      <c r="D49" s="45" t="s">
        <v>338</v>
      </c>
      <c r="E49" s="45" t="s">
        <v>209</v>
      </c>
      <c r="F49" s="41" t="n">
        <v>11</v>
      </c>
      <c r="G49" s="41" t="n">
        <v>3</v>
      </c>
      <c r="H49" s="45" t="s">
        <v>339</v>
      </c>
      <c r="I49" s="45" t="s">
        <v>340</v>
      </c>
      <c r="J49" s="46" t="n">
        <v>26.8</v>
      </c>
      <c r="K49" s="32" t="n">
        <v>17</v>
      </c>
      <c r="L49" s="34" t="s">
        <v>151</v>
      </c>
    </row>
    <row r="50" customFormat="false" ht="15" hidden="false" customHeight="true" outlineLevel="0" collapsed="false">
      <c r="A50" s="32" t="n">
        <v>46</v>
      </c>
      <c r="B50" s="33" t="s">
        <v>152</v>
      </c>
      <c r="C50" s="32" t="s">
        <v>150</v>
      </c>
      <c r="D50" s="45" t="s">
        <v>341</v>
      </c>
      <c r="E50" s="45" t="s">
        <v>233</v>
      </c>
      <c r="F50" s="41" t="n">
        <v>3</v>
      </c>
      <c r="G50" s="41" t="n">
        <v>5</v>
      </c>
      <c r="H50" s="45" t="s">
        <v>342</v>
      </c>
      <c r="I50" s="45" t="s">
        <v>343</v>
      </c>
      <c r="J50" s="46" t="n">
        <v>28.7</v>
      </c>
      <c r="K50" s="32" t="n">
        <v>7</v>
      </c>
      <c r="L50" s="34" t="s">
        <v>153</v>
      </c>
    </row>
    <row r="51" customFormat="false" ht="15" hidden="false" customHeight="true" outlineLevel="0" collapsed="false">
      <c r="A51" s="23" t="n">
        <v>47</v>
      </c>
      <c r="B51" s="24" t="s">
        <v>154</v>
      </c>
      <c r="C51" s="23" t="s">
        <v>150</v>
      </c>
      <c r="D51" s="45" t="s">
        <v>344</v>
      </c>
      <c r="E51" s="45" t="s">
        <v>197</v>
      </c>
      <c r="F51" s="41" t="n">
        <v>1</v>
      </c>
      <c r="G51" s="41" t="n">
        <v>2</v>
      </c>
      <c r="H51" s="45" t="s">
        <v>345</v>
      </c>
      <c r="I51" s="45" t="s">
        <v>346</v>
      </c>
      <c r="J51" s="46" t="n">
        <v>28.7</v>
      </c>
      <c r="K51" s="23" t="n">
        <v>2</v>
      </c>
      <c r="L51" s="25" t="s">
        <v>155</v>
      </c>
    </row>
    <row r="52" customFormat="false" ht="15" hidden="false" customHeight="true" outlineLevel="0" collapsed="false">
      <c r="A52" s="29" t="n">
        <v>48</v>
      </c>
      <c r="B52" s="30" t="s">
        <v>156</v>
      </c>
      <c r="C52" s="29" t="s">
        <v>150</v>
      </c>
      <c r="D52" s="45" t="s">
        <v>347</v>
      </c>
      <c r="E52" s="45" t="s">
        <v>205</v>
      </c>
      <c r="F52" s="41" t="n">
        <v>4</v>
      </c>
      <c r="G52" s="41" t="n">
        <v>3</v>
      </c>
      <c r="H52" s="45" t="s">
        <v>348</v>
      </c>
      <c r="I52" s="45" t="s">
        <v>349</v>
      </c>
      <c r="J52" s="46" t="n">
        <v>27</v>
      </c>
      <c r="K52" s="29" t="n">
        <v>5</v>
      </c>
      <c r="L52" s="31" t="s">
        <v>88</v>
      </c>
    </row>
    <row r="54" customFormat="false" ht="21.75" hidden="false" customHeight="true" outlineLevel="0" collapsed="false">
      <c r="A54" s="47" t="s">
        <v>350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</row>
    <row r="55" customFormat="false" ht="15" hidden="false" customHeight="true" outlineLevel="0" collapsed="false">
      <c r="A55" s="48" t="s">
        <v>351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</row>
  </sheetData>
  <mergeCells count="5">
    <mergeCell ref="A1:L1"/>
    <mergeCell ref="A2:L2"/>
    <mergeCell ref="A3:L3"/>
    <mergeCell ref="A54:L54"/>
    <mergeCell ref="A55:L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7" min="6" style="1" width="18"/>
    <col collapsed="false" customWidth="true" hidden="false" outlineLevel="0" max="8" min="8" style="1" width="12"/>
    <col collapsed="false" customWidth="true" hidden="false" outlineLevel="0" max="9" min="9" style="1" width="13"/>
    <col collapsed="false" customWidth="true" hidden="false" outlineLevel="0" max="10" min="10" style="1" width="12"/>
    <col collapsed="false" customWidth="true" hidden="false" outlineLevel="0" max="12" min="11" style="1" width="22"/>
  </cols>
  <sheetData>
    <row r="1" customFormat="false" ht="30" hidden="false" customHeight="true" outlineLevel="0" collapsed="false">
      <c r="A1" s="19" t="s">
        <v>352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5" hidden="false" customHeight="true" outlineLevel="0" collapsed="false">
      <c r="A2" s="20" t="s">
        <v>353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customFormat="false" ht="18" hidden="false" customHeight="true" outlineLevel="0" collapsed="false">
      <c r="A3" s="21" t="s">
        <v>44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customFormat="false" ht="36" hidden="false" customHeight="true" outlineLevel="0" collapsed="false">
      <c r="A4" s="22" t="s">
        <v>45</v>
      </c>
      <c r="B4" s="22" t="s">
        <v>46</v>
      </c>
      <c r="C4" s="22" t="s">
        <v>48</v>
      </c>
      <c r="D4" s="22" t="s">
        <v>354</v>
      </c>
      <c r="E4" s="22" t="s">
        <v>355</v>
      </c>
      <c r="F4" s="22" t="s">
        <v>356</v>
      </c>
      <c r="G4" s="22" t="s">
        <v>357</v>
      </c>
      <c r="H4" s="22" t="s">
        <v>358</v>
      </c>
      <c r="I4" s="22" t="s">
        <v>359</v>
      </c>
      <c r="J4" s="22" t="s">
        <v>360</v>
      </c>
      <c r="K4" s="22" t="s">
        <v>361</v>
      </c>
      <c r="L4" s="22" t="s">
        <v>362</v>
      </c>
    </row>
    <row r="5" customFormat="false" ht="15" hidden="false" customHeight="true" outlineLevel="0" collapsed="false">
      <c r="A5" s="23" t="n">
        <v>1</v>
      </c>
      <c r="B5" s="24" t="s">
        <v>53</v>
      </c>
      <c r="C5" s="23" t="s">
        <v>55</v>
      </c>
      <c r="D5" s="45" t="s">
        <v>363</v>
      </c>
      <c r="E5" s="45" t="s">
        <v>364</v>
      </c>
      <c r="F5" s="45" t="s">
        <v>365</v>
      </c>
      <c r="G5" s="45" t="s">
        <v>366</v>
      </c>
      <c r="H5" s="41" t="n">
        <v>7</v>
      </c>
      <c r="I5" s="49" t="n">
        <v>55</v>
      </c>
      <c r="J5" s="49" t="n">
        <v>83</v>
      </c>
      <c r="K5" s="45" t="s">
        <v>367</v>
      </c>
      <c r="L5" s="45" t="s">
        <v>368</v>
      </c>
    </row>
    <row r="6" customFormat="false" ht="15" hidden="false" customHeight="true" outlineLevel="0" collapsed="false">
      <c r="A6" s="26" t="n">
        <v>2</v>
      </c>
      <c r="B6" s="27" t="s">
        <v>57</v>
      </c>
      <c r="C6" s="26" t="s">
        <v>55</v>
      </c>
      <c r="D6" s="45" t="s">
        <v>369</v>
      </c>
      <c r="E6" s="45" t="s">
        <v>370</v>
      </c>
      <c r="F6" s="45" t="s">
        <v>365</v>
      </c>
      <c r="G6" s="45" t="s">
        <v>366</v>
      </c>
      <c r="H6" s="41" t="n">
        <v>7</v>
      </c>
      <c r="I6" s="49" t="n">
        <v>52</v>
      </c>
      <c r="J6" s="49" t="n">
        <v>82</v>
      </c>
      <c r="K6" s="45" t="s">
        <v>371</v>
      </c>
      <c r="L6" s="45" t="s">
        <v>372</v>
      </c>
    </row>
    <row r="7" customFormat="false" ht="15" hidden="false" customHeight="true" outlineLevel="0" collapsed="false">
      <c r="A7" s="29" t="n">
        <v>3</v>
      </c>
      <c r="B7" s="30" t="s">
        <v>60</v>
      </c>
      <c r="C7" s="29" t="s">
        <v>55</v>
      </c>
      <c r="D7" s="45" t="s">
        <v>363</v>
      </c>
      <c r="E7" s="45" t="s">
        <v>373</v>
      </c>
      <c r="F7" s="45" t="s">
        <v>374</v>
      </c>
      <c r="G7" s="45" t="s">
        <v>366</v>
      </c>
      <c r="H7" s="41" t="n">
        <v>6</v>
      </c>
      <c r="I7" s="49" t="n">
        <v>53</v>
      </c>
      <c r="J7" s="49" t="n">
        <v>79</v>
      </c>
      <c r="K7" s="45" t="s">
        <v>375</v>
      </c>
      <c r="L7" s="45" t="s">
        <v>368</v>
      </c>
    </row>
    <row r="8" customFormat="false" ht="15" hidden="false" customHeight="true" outlineLevel="0" collapsed="false">
      <c r="A8" s="32" t="n">
        <v>4</v>
      </c>
      <c r="B8" s="33" t="s">
        <v>63</v>
      </c>
      <c r="C8" s="32" t="s">
        <v>55</v>
      </c>
      <c r="D8" s="45" t="s">
        <v>369</v>
      </c>
      <c r="E8" s="45" t="s">
        <v>370</v>
      </c>
      <c r="F8" s="45" t="s">
        <v>365</v>
      </c>
      <c r="G8" s="45" t="s">
        <v>366</v>
      </c>
      <c r="H8" s="41" t="n">
        <v>7</v>
      </c>
      <c r="I8" s="49" t="n">
        <v>51</v>
      </c>
      <c r="J8" s="49" t="n">
        <v>81</v>
      </c>
      <c r="K8" s="45" t="s">
        <v>376</v>
      </c>
      <c r="L8" s="45" t="s">
        <v>377</v>
      </c>
    </row>
    <row r="9" customFormat="false" ht="15" hidden="false" customHeight="true" outlineLevel="0" collapsed="false">
      <c r="A9" s="23" t="n">
        <v>5</v>
      </c>
      <c r="B9" s="24" t="s">
        <v>66</v>
      </c>
      <c r="C9" s="23" t="s">
        <v>67</v>
      </c>
      <c r="D9" s="45" t="s">
        <v>363</v>
      </c>
      <c r="E9" s="45" t="s">
        <v>378</v>
      </c>
      <c r="F9" s="45" t="s">
        <v>365</v>
      </c>
      <c r="G9" s="45" t="s">
        <v>379</v>
      </c>
      <c r="H9" s="41" t="n">
        <v>8</v>
      </c>
      <c r="I9" s="49" t="n">
        <v>52</v>
      </c>
      <c r="J9" s="49" t="n">
        <v>81</v>
      </c>
      <c r="K9" s="45" t="s">
        <v>380</v>
      </c>
      <c r="L9" s="45" t="s">
        <v>381</v>
      </c>
    </row>
    <row r="10" customFormat="false" ht="15" hidden="false" customHeight="true" outlineLevel="0" collapsed="false">
      <c r="A10" s="32" t="n">
        <v>6</v>
      </c>
      <c r="B10" s="33" t="s">
        <v>69</v>
      </c>
      <c r="C10" s="32" t="s">
        <v>67</v>
      </c>
      <c r="D10" s="45" t="s">
        <v>369</v>
      </c>
      <c r="E10" s="45" t="s">
        <v>382</v>
      </c>
      <c r="F10" s="45" t="s">
        <v>383</v>
      </c>
      <c r="G10" s="45" t="s">
        <v>384</v>
      </c>
      <c r="H10" s="41" t="n">
        <v>6</v>
      </c>
      <c r="I10" s="49" t="n">
        <v>48</v>
      </c>
      <c r="J10" s="49" t="n">
        <v>81</v>
      </c>
      <c r="K10" s="45" t="s">
        <v>385</v>
      </c>
      <c r="L10" s="45" t="s">
        <v>386</v>
      </c>
    </row>
    <row r="11" customFormat="false" ht="15" hidden="false" customHeight="true" outlineLevel="0" collapsed="false">
      <c r="A11" s="26" t="n">
        <v>7</v>
      </c>
      <c r="B11" s="27" t="s">
        <v>71</v>
      </c>
      <c r="C11" s="26" t="s">
        <v>67</v>
      </c>
      <c r="D11" s="45" t="s">
        <v>387</v>
      </c>
      <c r="E11" s="45" t="s">
        <v>373</v>
      </c>
      <c r="F11" s="45" t="s">
        <v>388</v>
      </c>
      <c r="G11" s="45" t="s">
        <v>366</v>
      </c>
      <c r="H11" s="41" t="n">
        <v>6</v>
      </c>
      <c r="I11" s="49" t="n">
        <v>53</v>
      </c>
      <c r="J11" s="49" t="n">
        <v>81</v>
      </c>
      <c r="K11" s="45" t="s">
        <v>389</v>
      </c>
      <c r="L11" s="45" t="s">
        <v>374</v>
      </c>
    </row>
    <row r="12" customFormat="false" ht="15" hidden="false" customHeight="true" outlineLevel="0" collapsed="false">
      <c r="A12" s="32" t="n">
        <v>8</v>
      </c>
      <c r="B12" s="33" t="s">
        <v>73</v>
      </c>
      <c r="C12" s="32" t="s">
        <v>67</v>
      </c>
      <c r="D12" s="45" t="s">
        <v>369</v>
      </c>
      <c r="E12" s="45" t="s">
        <v>390</v>
      </c>
      <c r="F12" s="45" t="s">
        <v>391</v>
      </c>
      <c r="G12" s="45" t="s">
        <v>384</v>
      </c>
      <c r="H12" s="41" t="n">
        <v>6</v>
      </c>
      <c r="I12" s="49" t="n">
        <v>47</v>
      </c>
      <c r="J12" s="49" t="n">
        <v>78</v>
      </c>
      <c r="K12" s="45" t="s">
        <v>380</v>
      </c>
      <c r="L12" s="45" t="s">
        <v>367</v>
      </c>
    </row>
    <row r="13" customFormat="false" ht="15" hidden="false" customHeight="true" outlineLevel="0" collapsed="false">
      <c r="A13" s="35" t="n">
        <v>9</v>
      </c>
      <c r="B13" s="36" t="s">
        <v>75</v>
      </c>
      <c r="C13" s="35" t="s">
        <v>77</v>
      </c>
      <c r="D13" s="45" t="s">
        <v>369</v>
      </c>
      <c r="E13" s="45" t="s">
        <v>364</v>
      </c>
      <c r="F13" s="45" t="s">
        <v>392</v>
      </c>
      <c r="G13" s="45" t="s">
        <v>366</v>
      </c>
      <c r="H13" s="41" t="n">
        <v>7</v>
      </c>
      <c r="I13" s="49" t="n">
        <v>58</v>
      </c>
      <c r="J13" s="49" t="n">
        <v>85</v>
      </c>
      <c r="K13" s="45" t="s">
        <v>393</v>
      </c>
      <c r="L13" s="45" t="s">
        <v>394</v>
      </c>
    </row>
    <row r="14" customFormat="false" ht="15" hidden="false" customHeight="true" outlineLevel="0" collapsed="false">
      <c r="A14" s="29" t="n">
        <v>10</v>
      </c>
      <c r="B14" s="30" t="s">
        <v>79</v>
      </c>
      <c r="C14" s="29" t="s">
        <v>77</v>
      </c>
      <c r="D14" s="45" t="s">
        <v>395</v>
      </c>
      <c r="E14" s="45" t="s">
        <v>396</v>
      </c>
      <c r="F14" s="45" t="s">
        <v>391</v>
      </c>
      <c r="G14" s="45" t="s">
        <v>397</v>
      </c>
      <c r="H14" s="41" t="n">
        <v>6</v>
      </c>
      <c r="I14" s="49" t="n">
        <v>42</v>
      </c>
      <c r="J14" s="49" t="n">
        <v>78</v>
      </c>
      <c r="K14" s="45" t="s">
        <v>398</v>
      </c>
      <c r="L14" s="45" t="s">
        <v>393</v>
      </c>
    </row>
    <row r="15" customFormat="false" ht="15" hidden="false" customHeight="true" outlineLevel="0" collapsed="false">
      <c r="A15" s="32" t="n">
        <v>11</v>
      </c>
      <c r="B15" s="33" t="s">
        <v>81</v>
      </c>
      <c r="C15" s="32" t="s">
        <v>77</v>
      </c>
      <c r="D15" s="45" t="s">
        <v>399</v>
      </c>
      <c r="E15" s="45" t="s">
        <v>400</v>
      </c>
      <c r="F15" s="45" t="s">
        <v>365</v>
      </c>
      <c r="G15" s="45" t="s">
        <v>366</v>
      </c>
      <c r="H15" s="41" t="n">
        <v>7</v>
      </c>
      <c r="I15" s="49" t="n">
        <v>50</v>
      </c>
      <c r="J15" s="49" t="n">
        <v>80</v>
      </c>
      <c r="K15" s="45" t="s">
        <v>373</v>
      </c>
      <c r="L15" s="45" t="s">
        <v>401</v>
      </c>
    </row>
    <row r="16" customFormat="false" ht="15" hidden="false" customHeight="true" outlineLevel="0" collapsed="false">
      <c r="A16" s="23" t="n">
        <v>12</v>
      </c>
      <c r="B16" s="24" t="s">
        <v>82</v>
      </c>
      <c r="C16" s="23" t="s">
        <v>77</v>
      </c>
      <c r="D16" s="45" t="s">
        <v>363</v>
      </c>
      <c r="E16" s="45" t="s">
        <v>382</v>
      </c>
      <c r="F16" s="45" t="s">
        <v>391</v>
      </c>
      <c r="G16" s="45" t="s">
        <v>397</v>
      </c>
      <c r="H16" s="41" t="n">
        <v>6</v>
      </c>
      <c r="I16" s="49" t="n">
        <v>42</v>
      </c>
      <c r="J16" s="49" t="n">
        <v>73</v>
      </c>
      <c r="K16" s="45" t="s">
        <v>398</v>
      </c>
      <c r="L16" s="45" t="s">
        <v>402</v>
      </c>
    </row>
    <row r="17" customFormat="false" ht="15" hidden="false" customHeight="true" outlineLevel="0" collapsed="false">
      <c r="A17" s="23" t="n">
        <v>13</v>
      </c>
      <c r="B17" s="24" t="s">
        <v>84</v>
      </c>
      <c r="C17" s="23" t="s">
        <v>85</v>
      </c>
      <c r="D17" s="45" t="s">
        <v>363</v>
      </c>
      <c r="E17" s="45" t="s">
        <v>403</v>
      </c>
      <c r="F17" s="45" t="s">
        <v>365</v>
      </c>
      <c r="G17" s="45" t="s">
        <v>379</v>
      </c>
      <c r="H17" s="41" t="n">
        <v>8</v>
      </c>
      <c r="I17" s="49" t="n">
        <v>54</v>
      </c>
      <c r="J17" s="49" t="n">
        <v>82</v>
      </c>
      <c r="K17" s="45" t="s">
        <v>380</v>
      </c>
      <c r="L17" s="45" t="s">
        <v>404</v>
      </c>
    </row>
    <row r="18" customFormat="false" ht="15" hidden="false" customHeight="true" outlineLevel="0" collapsed="false">
      <c r="A18" s="35" t="n">
        <v>14</v>
      </c>
      <c r="B18" s="36" t="s">
        <v>87</v>
      </c>
      <c r="C18" s="35" t="s">
        <v>85</v>
      </c>
      <c r="D18" s="45" t="s">
        <v>405</v>
      </c>
      <c r="E18" s="45" t="s">
        <v>382</v>
      </c>
      <c r="F18" s="45" t="s">
        <v>391</v>
      </c>
      <c r="G18" s="45" t="s">
        <v>384</v>
      </c>
      <c r="H18" s="41" t="n">
        <v>6</v>
      </c>
      <c r="I18" s="49" t="n">
        <v>45</v>
      </c>
      <c r="J18" s="49" t="n">
        <v>77</v>
      </c>
      <c r="K18" s="45" t="s">
        <v>373</v>
      </c>
      <c r="L18" s="45" t="s">
        <v>406</v>
      </c>
    </row>
    <row r="19" customFormat="false" ht="15" hidden="false" customHeight="true" outlineLevel="0" collapsed="false">
      <c r="A19" s="26" t="n">
        <v>15</v>
      </c>
      <c r="B19" s="27" t="s">
        <v>89</v>
      </c>
      <c r="C19" s="26" t="s">
        <v>85</v>
      </c>
      <c r="D19" s="45" t="s">
        <v>363</v>
      </c>
      <c r="E19" s="45" t="s">
        <v>391</v>
      </c>
      <c r="F19" s="45" t="s">
        <v>407</v>
      </c>
      <c r="G19" s="45" t="s">
        <v>384</v>
      </c>
      <c r="H19" s="41" t="n">
        <v>6</v>
      </c>
      <c r="I19" s="49" t="n">
        <v>47</v>
      </c>
      <c r="J19" s="49" t="n">
        <v>78</v>
      </c>
      <c r="K19" s="45" t="s">
        <v>398</v>
      </c>
      <c r="L19" s="45" t="s">
        <v>393</v>
      </c>
    </row>
    <row r="20" customFormat="false" ht="15" hidden="false" customHeight="true" outlineLevel="0" collapsed="false">
      <c r="A20" s="32" t="n">
        <v>16</v>
      </c>
      <c r="B20" s="33" t="s">
        <v>91</v>
      </c>
      <c r="C20" s="32" t="s">
        <v>85</v>
      </c>
      <c r="D20" s="45" t="s">
        <v>369</v>
      </c>
      <c r="E20" s="45" t="s">
        <v>370</v>
      </c>
      <c r="F20" s="45" t="s">
        <v>365</v>
      </c>
      <c r="G20" s="45" t="s">
        <v>366</v>
      </c>
      <c r="H20" s="41" t="n">
        <v>7</v>
      </c>
      <c r="I20" s="49" t="n">
        <v>52</v>
      </c>
      <c r="J20" s="49" t="n">
        <v>82</v>
      </c>
      <c r="K20" s="45" t="s">
        <v>408</v>
      </c>
      <c r="L20" s="45" t="s">
        <v>381</v>
      </c>
    </row>
    <row r="21" customFormat="false" ht="15" hidden="false" customHeight="true" outlineLevel="0" collapsed="false">
      <c r="A21" s="32" t="n">
        <v>17</v>
      </c>
      <c r="B21" s="33" t="s">
        <v>93</v>
      </c>
      <c r="C21" s="32" t="s">
        <v>94</v>
      </c>
      <c r="D21" s="45" t="s">
        <v>363</v>
      </c>
      <c r="E21" s="45" t="s">
        <v>409</v>
      </c>
      <c r="F21" s="45" t="s">
        <v>388</v>
      </c>
      <c r="G21" s="45" t="s">
        <v>385</v>
      </c>
      <c r="H21" s="41" t="n">
        <v>8</v>
      </c>
      <c r="I21" s="49" t="n">
        <v>60</v>
      </c>
      <c r="J21" s="49" t="n">
        <v>87</v>
      </c>
      <c r="K21" s="45" t="s">
        <v>410</v>
      </c>
      <c r="L21" s="45" t="s">
        <v>411</v>
      </c>
    </row>
    <row r="22" customFormat="false" ht="15" hidden="false" customHeight="true" outlineLevel="0" collapsed="false">
      <c r="A22" s="35" t="n">
        <v>18</v>
      </c>
      <c r="B22" s="36" t="s">
        <v>96</v>
      </c>
      <c r="C22" s="35" t="s">
        <v>94</v>
      </c>
      <c r="D22" s="45" t="s">
        <v>363</v>
      </c>
      <c r="E22" s="45" t="s">
        <v>390</v>
      </c>
      <c r="F22" s="45" t="s">
        <v>365</v>
      </c>
      <c r="G22" s="45" t="s">
        <v>366</v>
      </c>
      <c r="H22" s="41" t="n">
        <v>7</v>
      </c>
      <c r="I22" s="49" t="n">
        <v>51</v>
      </c>
      <c r="J22" s="49" t="n">
        <v>80</v>
      </c>
      <c r="K22" s="45" t="s">
        <v>373</v>
      </c>
      <c r="L22" s="45" t="s">
        <v>412</v>
      </c>
    </row>
    <row r="23" customFormat="false" ht="15" hidden="false" customHeight="true" outlineLevel="0" collapsed="false">
      <c r="A23" s="29" t="n">
        <v>19</v>
      </c>
      <c r="B23" s="30" t="s">
        <v>98</v>
      </c>
      <c r="C23" s="29" t="s">
        <v>94</v>
      </c>
      <c r="D23" s="45" t="s">
        <v>363</v>
      </c>
      <c r="E23" s="45" t="s">
        <v>390</v>
      </c>
      <c r="F23" s="45" t="s">
        <v>365</v>
      </c>
      <c r="G23" s="45" t="s">
        <v>366</v>
      </c>
      <c r="H23" s="41" t="n">
        <v>7</v>
      </c>
      <c r="I23" s="49" t="n">
        <v>52</v>
      </c>
      <c r="J23" s="49" t="n">
        <v>81</v>
      </c>
      <c r="K23" s="45" t="s">
        <v>385</v>
      </c>
      <c r="L23" s="45" t="s">
        <v>413</v>
      </c>
    </row>
    <row r="24" customFormat="false" ht="15" hidden="false" customHeight="true" outlineLevel="0" collapsed="false">
      <c r="A24" s="23" t="n">
        <v>20</v>
      </c>
      <c r="B24" s="24" t="s">
        <v>99</v>
      </c>
      <c r="C24" s="23" t="s">
        <v>94</v>
      </c>
      <c r="D24" s="45" t="s">
        <v>369</v>
      </c>
      <c r="E24" s="45" t="s">
        <v>382</v>
      </c>
      <c r="F24" s="45" t="s">
        <v>391</v>
      </c>
      <c r="G24" s="45" t="s">
        <v>397</v>
      </c>
      <c r="H24" s="41" t="n">
        <v>6</v>
      </c>
      <c r="I24" s="49" t="n">
        <v>43</v>
      </c>
      <c r="J24" s="49" t="n">
        <v>75</v>
      </c>
      <c r="K24" s="45" t="s">
        <v>398</v>
      </c>
      <c r="L24" s="45" t="s">
        <v>414</v>
      </c>
    </row>
    <row r="25" customFormat="false" ht="15" hidden="false" customHeight="true" outlineLevel="0" collapsed="false">
      <c r="A25" s="32" t="n">
        <v>21</v>
      </c>
      <c r="B25" s="33" t="s">
        <v>101</v>
      </c>
      <c r="C25" s="32" t="s">
        <v>102</v>
      </c>
      <c r="D25" s="45" t="s">
        <v>363</v>
      </c>
      <c r="E25" s="45" t="s">
        <v>373</v>
      </c>
      <c r="F25" s="45" t="s">
        <v>388</v>
      </c>
      <c r="G25" s="45" t="s">
        <v>385</v>
      </c>
      <c r="H25" s="41" t="n">
        <v>8</v>
      </c>
      <c r="I25" s="49" t="n">
        <v>61</v>
      </c>
      <c r="J25" s="49" t="n">
        <v>87</v>
      </c>
      <c r="K25" s="45" t="s">
        <v>415</v>
      </c>
      <c r="L25" s="45" t="s">
        <v>416</v>
      </c>
    </row>
    <row r="26" customFormat="false" ht="15" hidden="false" customHeight="true" outlineLevel="0" collapsed="false">
      <c r="A26" s="26" t="n">
        <v>22</v>
      </c>
      <c r="B26" s="27" t="s">
        <v>104</v>
      </c>
      <c r="C26" s="26" t="s">
        <v>102</v>
      </c>
      <c r="D26" s="45" t="s">
        <v>369</v>
      </c>
      <c r="E26" s="45" t="s">
        <v>364</v>
      </c>
      <c r="F26" s="45" t="s">
        <v>388</v>
      </c>
      <c r="G26" s="45" t="s">
        <v>366</v>
      </c>
      <c r="H26" s="41" t="n">
        <v>7</v>
      </c>
      <c r="I26" s="49" t="n">
        <v>56</v>
      </c>
      <c r="J26" s="49" t="n">
        <v>86</v>
      </c>
      <c r="K26" s="45" t="s">
        <v>367</v>
      </c>
      <c r="L26" s="45" t="s">
        <v>368</v>
      </c>
    </row>
    <row r="27" customFormat="false" ht="15" hidden="false" customHeight="true" outlineLevel="0" collapsed="false">
      <c r="A27" s="29" t="n">
        <v>23</v>
      </c>
      <c r="B27" s="30" t="s">
        <v>106</v>
      </c>
      <c r="C27" s="29" t="s">
        <v>102</v>
      </c>
      <c r="D27" s="45" t="s">
        <v>363</v>
      </c>
      <c r="E27" s="45" t="s">
        <v>382</v>
      </c>
      <c r="F27" s="45" t="s">
        <v>391</v>
      </c>
      <c r="G27" s="45" t="s">
        <v>384</v>
      </c>
      <c r="H27" s="41" t="n">
        <v>6</v>
      </c>
      <c r="I27" s="49" t="n">
        <v>47</v>
      </c>
      <c r="J27" s="49" t="n">
        <v>77</v>
      </c>
      <c r="K27" s="45" t="s">
        <v>398</v>
      </c>
      <c r="L27" s="45" t="s">
        <v>406</v>
      </c>
    </row>
    <row r="28" customFormat="false" ht="15" hidden="false" customHeight="true" outlineLevel="0" collapsed="false">
      <c r="A28" s="32" t="n">
        <v>24</v>
      </c>
      <c r="B28" s="33" t="s">
        <v>107</v>
      </c>
      <c r="C28" s="32" t="s">
        <v>102</v>
      </c>
      <c r="D28" s="45" t="s">
        <v>405</v>
      </c>
      <c r="E28" s="45" t="s">
        <v>390</v>
      </c>
      <c r="F28" s="45" t="s">
        <v>391</v>
      </c>
      <c r="G28" s="45" t="s">
        <v>384</v>
      </c>
      <c r="H28" s="41" t="n">
        <v>6</v>
      </c>
      <c r="I28" s="49" t="n">
        <v>48</v>
      </c>
      <c r="J28" s="49" t="n">
        <v>78</v>
      </c>
      <c r="K28" s="45" t="s">
        <v>373</v>
      </c>
      <c r="L28" s="45" t="s">
        <v>393</v>
      </c>
    </row>
    <row r="29" customFormat="false" ht="15" hidden="false" customHeight="true" outlineLevel="0" collapsed="false">
      <c r="A29" s="32" t="n">
        <v>25</v>
      </c>
      <c r="B29" s="33" t="s">
        <v>109</v>
      </c>
      <c r="C29" s="32" t="s">
        <v>110</v>
      </c>
      <c r="D29" s="45" t="s">
        <v>417</v>
      </c>
      <c r="E29" s="45" t="s">
        <v>391</v>
      </c>
      <c r="F29" s="45" t="s">
        <v>407</v>
      </c>
      <c r="G29" s="45" t="s">
        <v>366</v>
      </c>
      <c r="H29" s="41" t="n">
        <v>6</v>
      </c>
      <c r="I29" s="49" t="n">
        <v>53</v>
      </c>
      <c r="J29" s="49" t="n">
        <v>82</v>
      </c>
      <c r="K29" s="45" t="s">
        <v>418</v>
      </c>
      <c r="L29" s="45" t="s">
        <v>367</v>
      </c>
    </row>
    <row r="30" customFormat="false" ht="15" hidden="false" customHeight="true" outlineLevel="0" collapsed="false">
      <c r="A30" s="26" t="n">
        <v>26</v>
      </c>
      <c r="B30" s="27" t="s">
        <v>112</v>
      </c>
      <c r="C30" s="26" t="s">
        <v>110</v>
      </c>
      <c r="D30" s="45" t="s">
        <v>419</v>
      </c>
      <c r="E30" s="45" t="s">
        <v>382</v>
      </c>
      <c r="F30" s="45" t="s">
        <v>391</v>
      </c>
      <c r="G30" s="45" t="s">
        <v>397</v>
      </c>
      <c r="H30" s="41" t="n">
        <v>6</v>
      </c>
      <c r="I30" s="49" t="n">
        <v>44</v>
      </c>
      <c r="J30" s="49" t="n">
        <v>77</v>
      </c>
      <c r="K30" s="45" t="s">
        <v>398</v>
      </c>
      <c r="L30" s="45" t="s">
        <v>386</v>
      </c>
    </row>
    <row r="31" customFormat="false" ht="15" hidden="false" customHeight="true" outlineLevel="0" collapsed="false">
      <c r="A31" s="29" t="n">
        <v>27</v>
      </c>
      <c r="B31" s="30" t="s">
        <v>113</v>
      </c>
      <c r="C31" s="29" t="s">
        <v>110</v>
      </c>
      <c r="D31" s="45" t="s">
        <v>369</v>
      </c>
      <c r="E31" s="45" t="s">
        <v>382</v>
      </c>
      <c r="F31" s="45" t="s">
        <v>365</v>
      </c>
      <c r="G31" s="45" t="s">
        <v>384</v>
      </c>
      <c r="H31" s="41" t="n">
        <v>6</v>
      </c>
      <c r="I31" s="49" t="n">
        <v>50</v>
      </c>
      <c r="J31" s="49" t="n">
        <v>79</v>
      </c>
      <c r="K31" s="45" t="s">
        <v>420</v>
      </c>
      <c r="L31" s="45" t="s">
        <v>421</v>
      </c>
    </row>
    <row r="32" customFormat="false" ht="15" hidden="false" customHeight="true" outlineLevel="0" collapsed="false">
      <c r="A32" s="38" t="n">
        <v>28</v>
      </c>
      <c r="B32" s="39" t="s">
        <v>114</v>
      </c>
      <c r="C32" s="38" t="s">
        <v>110</v>
      </c>
      <c r="D32" s="45" t="s">
        <v>363</v>
      </c>
      <c r="E32" s="45" t="s">
        <v>390</v>
      </c>
      <c r="F32" s="45" t="s">
        <v>391</v>
      </c>
      <c r="G32" s="45" t="s">
        <v>384</v>
      </c>
      <c r="H32" s="41" t="n">
        <v>6</v>
      </c>
      <c r="I32" s="49" t="n">
        <v>45</v>
      </c>
      <c r="J32" s="49" t="n">
        <v>77</v>
      </c>
      <c r="K32" s="45" t="s">
        <v>374</v>
      </c>
      <c r="L32" s="45" t="s">
        <v>422</v>
      </c>
    </row>
    <row r="33" customFormat="false" ht="15" hidden="false" customHeight="true" outlineLevel="0" collapsed="false">
      <c r="A33" s="32" t="n">
        <v>29</v>
      </c>
      <c r="B33" s="33" t="s">
        <v>117</v>
      </c>
      <c r="C33" s="32" t="s">
        <v>118</v>
      </c>
      <c r="D33" s="45" t="s">
        <v>363</v>
      </c>
      <c r="E33" s="45" t="s">
        <v>373</v>
      </c>
      <c r="F33" s="45" t="s">
        <v>388</v>
      </c>
      <c r="G33" s="45" t="s">
        <v>385</v>
      </c>
      <c r="H33" s="41" t="n">
        <v>8</v>
      </c>
      <c r="I33" s="49" t="n">
        <v>62</v>
      </c>
      <c r="J33" s="49" t="n">
        <v>89</v>
      </c>
      <c r="K33" s="45" t="s">
        <v>423</v>
      </c>
      <c r="L33" s="45" t="s">
        <v>424</v>
      </c>
    </row>
    <row r="34" customFormat="false" ht="15" hidden="false" customHeight="true" outlineLevel="0" collapsed="false">
      <c r="A34" s="35" t="n">
        <v>30</v>
      </c>
      <c r="B34" s="36" t="s">
        <v>120</v>
      </c>
      <c r="C34" s="35" t="s">
        <v>118</v>
      </c>
      <c r="D34" s="45" t="s">
        <v>405</v>
      </c>
      <c r="E34" s="45" t="s">
        <v>390</v>
      </c>
      <c r="F34" s="45" t="s">
        <v>383</v>
      </c>
      <c r="G34" s="45" t="s">
        <v>384</v>
      </c>
      <c r="H34" s="41" t="n">
        <v>6</v>
      </c>
      <c r="I34" s="49" t="n">
        <v>47</v>
      </c>
      <c r="J34" s="49" t="n">
        <v>79</v>
      </c>
      <c r="K34" s="45" t="s">
        <v>425</v>
      </c>
      <c r="L34" s="45" t="s">
        <v>422</v>
      </c>
    </row>
    <row r="35" customFormat="false" ht="15" hidden="false" customHeight="true" outlineLevel="0" collapsed="false">
      <c r="A35" s="26" t="n">
        <v>31</v>
      </c>
      <c r="B35" s="27" t="s">
        <v>122</v>
      </c>
      <c r="C35" s="26" t="s">
        <v>118</v>
      </c>
      <c r="D35" s="45" t="s">
        <v>369</v>
      </c>
      <c r="E35" s="45" t="s">
        <v>391</v>
      </c>
      <c r="F35" s="45" t="s">
        <v>365</v>
      </c>
      <c r="G35" s="45" t="s">
        <v>366</v>
      </c>
      <c r="H35" s="41" t="n">
        <v>5</v>
      </c>
      <c r="I35" s="49" t="n">
        <v>49</v>
      </c>
      <c r="J35" s="49" t="n">
        <v>79</v>
      </c>
      <c r="K35" s="45" t="s">
        <v>385</v>
      </c>
      <c r="L35" s="45" t="s">
        <v>426</v>
      </c>
    </row>
    <row r="36" customFormat="false" ht="15" hidden="false" customHeight="true" outlineLevel="0" collapsed="false">
      <c r="A36" s="29" t="n">
        <v>32</v>
      </c>
      <c r="B36" s="30" t="s">
        <v>124</v>
      </c>
      <c r="C36" s="29" t="s">
        <v>118</v>
      </c>
      <c r="D36" s="45" t="s">
        <v>363</v>
      </c>
      <c r="E36" s="45" t="s">
        <v>382</v>
      </c>
      <c r="F36" s="45" t="s">
        <v>391</v>
      </c>
      <c r="G36" s="45" t="s">
        <v>397</v>
      </c>
      <c r="H36" s="41" t="n">
        <v>6</v>
      </c>
      <c r="I36" s="49" t="n">
        <v>44</v>
      </c>
      <c r="J36" s="49" t="n">
        <v>76</v>
      </c>
      <c r="K36" s="45" t="s">
        <v>398</v>
      </c>
      <c r="L36" s="45" t="s">
        <v>386</v>
      </c>
    </row>
    <row r="37" customFormat="false" ht="15" hidden="false" customHeight="true" outlineLevel="0" collapsed="false">
      <c r="A37" s="32" t="n">
        <v>33</v>
      </c>
      <c r="B37" s="33" t="s">
        <v>125</v>
      </c>
      <c r="C37" s="32" t="s">
        <v>126</v>
      </c>
      <c r="D37" s="45" t="s">
        <v>369</v>
      </c>
      <c r="E37" s="45" t="s">
        <v>427</v>
      </c>
      <c r="F37" s="45" t="s">
        <v>428</v>
      </c>
      <c r="G37" s="45" t="s">
        <v>366</v>
      </c>
      <c r="H37" s="41" t="n">
        <v>7</v>
      </c>
      <c r="I37" s="49" t="n">
        <v>55</v>
      </c>
      <c r="J37" s="49" t="n">
        <v>85</v>
      </c>
      <c r="K37" s="45" t="s">
        <v>385</v>
      </c>
      <c r="L37" s="45" t="s">
        <v>429</v>
      </c>
    </row>
    <row r="38" customFormat="false" ht="15" hidden="false" customHeight="true" outlineLevel="0" collapsed="false">
      <c r="A38" s="29" t="n">
        <v>34</v>
      </c>
      <c r="B38" s="30" t="s">
        <v>128</v>
      </c>
      <c r="C38" s="29" t="s">
        <v>126</v>
      </c>
      <c r="D38" s="45" t="s">
        <v>363</v>
      </c>
      <c r="E38" s="45" t="s">
        <v>400</v>
      </c>
      <c r="F38" s="45" t="s">
        <v>365</v>
      </c>
      <c r="G38" s="45" t="s">
        <v>379</v>
      </c>
      <c r="H38" s="41" t="n">
        <v>7</v>
      </c>
      <c r="I38" s="49" t="n">
        <v>51</v>
      </c>
      <c r="J38" s="49" t="n">
        <v>81</v>
      </c>
      <c r="K38" s="45" t="s">
        <v>380</v>
      </c>
      <c r="L38" s="45" t="s">
        <v>381</v>
      </c>
    </row>
    <row r="39" customFormat="false" ht="15" hidden="false" customHeight="true" outlineLevel="0" collapsed="false">
      <c r="A39" s="32" t="n">
        <v>35</v>
      </c>
      <c r="B39" s="33" t="s">
        <v>130</v>
      </c>
      <c r="C39" s="32" t="s">
        <v>126</v>
      </c>
      <c r="D39" s="45" t="s">
        <v>363</v>
      </c>
      <c r="E39" s="45" t="s">
        <v>391</v>
      </c>
      <c r="F39" s="45" t="s">
        <v>407</v>
      </c>
      <c r="G39" s="45" t="s">
        <v>366</v>
      </c>
      <c r="H39" s="41" t="n">
        <v>6</v>
      </c>
      <c r="I39" s="49" t="n">
        <v>51</v>
      </c>
      <c r="J39" s="49" t="n">
        <v>81</v>
      </c>
      <c r="K39" s="45" t="s">
        <v>367</v>
      </c>
      <c r="L39" s="45" t="s">
        <v>430</v>
      </c>
    </row>
    <row r="40" customFormat="false" ht="15" hidden="false" customHeight="true" outlineLevel="0" collapsed="false">
      <c r="A40" s="26" t="n">
        <v>36</v>
      </c>
      <c r="B40" s="27" t="s">
        <v>132</v>
      </c>
      <c r="C40" s="26" t="s">
        <v>126</v>
      </c>
      <c r="D40" s="45" t="s">
        <v>369</v>
      </c>
      <c r="E40" s="45" t="s">
        <v>382</v>
      </c>
      <c r="F40" s="45" t="s">
        <v>391</v>
      </c>
      <c r="G40" s="45" t="s">
        <v>397</v>
      </c>
      <c r="H40" s="41" t="n">
        <v>6</v>
      </c>
      <c r="I40" s="49" t="n">
        <v>43</v>
      </c>
      <c r="J40" s="49" t="n">
        <v>75</v>
      </c>
      <c r="K40" s="45" t="s">
        <v>376</v>
      </c>
      <c r="L40" s="45" t="s">
        <v>414</v>
      </c>
    </row>
    <row r="41" customFormat="false" ht="15" hidden="false" customHeight="true" outlineLevel="0" collapsed="false">
      <c r="A41" s="35" t="n">
        <v>37</v>
      </c>
      <c r="B41" s="36" t="s">
        <v>134</v>
      </c>
      <c r="C41" s="35" t="s">
        <v>135</v>
      </c>
      <c r="D41" s="45" t="s">
        <v>431</v>
      </c>
      <c r="E41" s="45" t="s">
        <v>427</v>
      </c>
      <c r="F41" s="45" t="s">
        <v>432</v>
      </c>
      <c r="G41" s="45" t="s">
        <v>366</v>
      </c>
      <c r="H41" s="41" t="n">
        <v>7</v>
      </c>
      <c r="I41" s="49" t="n">
        <v>56</v>
      </c>
      <c r="J41" s="49" t="n">
        <v>84</v>
      </c>
      <c r="K41" s="45" t="s">
        <v>371</v>
      </c>
      <c r="L41" s="45" t="s">
        <v>433</v>
      </c>
    </row>
    <row r="42" customFormat="false" ht="15" hidden="false" customHeight="true" outlineLevel="0" collapsed="false">
      <c r="A42" s="32" t="n">
        <v>38</v>
      </c>
      <c r="B42" s="33" t="s">
        <v>137</v>
      </c>
      <c r="C42" s="32" t="s">
        <v>135</v>
      </c>
      <c r="D42" s="45" t="s">
        <v>369</v>
      </c>
      <c r="E42" s="45" t="s">
        <v>403</v>
      </c>
      <c r="F42" s="45" t="s">
        <v>365</v>
      </c>
      <c r="G42" s="45" t="s">
        <v>379</v>
      </c>
      <c r="H42" s="41" t="n">
        <v>8</v>
      </c>
      <c r="I42" s="49" t="n">
        <v>54</v>
      </c>
      <c r="J42" s="49" t="n">
        <v>83</v>
      </c>
      <c r="K42" s="45" t="s">
        <v>380</v>
      </c>
      <c r="L42" s="45" t="s">
        <v>434</v>
      </c>
    </row>
    <row r="43" customFormat="false" ht="15" hidden="false" customHeight="true" outlineLevel="0" collapsed="false">
      <c r="A43" s="29" t="n">
        <v>39</v>
      </c>
      <c r="B43" s="30" t="s">
        <v>139</v>
      </c>
      <c r="C43" s="29" t="s">
        <v>135</v>
      </c>
      <c r="D43" s="45" t="s">
        <v>363</v>
      </c>
      <c r="E43" s="45" t="s">
        <v>370</v>
      </c>
      <c r="F43" s="45" t="s">
        <v>365</v>
      </c>
      <c r="G43" s="45" t="s">
        <v>366</v>
      </c>
      <c r="H43" s="41" t="n">
        <v>7</v>
      </c>
      <c r="I43" s="49" t="n">
        <v>51</v>
      </c>
      <c r="J43" s="49" t="n">
        <v>80</v>
      </c>
      <c r="K43" s="45" t="s">
        <v>367</v>
      </c>
      <c r="L43" s="45" t="s">
        <v>435</v>
      </c>
    </row>
    <row r="44" customFormat="false" ht="15" hidden="false" customHeight="true" outlineLevel="0" collapsed="false">
      <c r="A44" s="26" t="n">
        <v>40</v>
      </c>
      <c r="B44" s="27" t="s">
        <v>141</v>
      </c>
      <c r="C44" s="26" t="s">
        <v>135</v>
      </c>
      <c r="D44" s="45" t="s">
        <v>363</v>
      </c>
      <c r="E44" s="45" t="s">
        <v>382</v>
      </c>
      <c r="F44" s="45" t="s">
        <v>391</v>
      </c>
      <c r="G44" s="45" t="s">
        <v>397</v>
      </c>
      <c r="H44" s="41" t="n">
        <v>6</v>
      </c>
      <c r="I44" s="49" t="n">
        <v>42</v>
      </c>
      <c r="J44" s="49" t="n">
        <v>74</v>
      </c>
      <c r="K44" s="45" t="s">
        <v>376</v>
      </c>
      <c r="L44" s="45" t="s">
        <v>436</v>
      </c>
    </row>
    <row r="45" customFormat="false" ht="15" hidden="false" customHeight="true" outlineLevel="0" collapsed="false">
      <c r="A45" s="32" t="n">
        <v>41</v>
      </c>
      <c r="B45" s="33" t="s">
        <v>142</v>
      </c>
      <c r="C45" s="32" t="s">
        <v>143</v>
      </c>
      <c r="D45" s="45" t="s">
        <v>363</v>
      </c>
      <c r="E45" s="45" t="s">
        <v>373</v>
      </c>
      <c r="F45" s="45" t="s">
        <v>428</v>
      </c>
      <c r="G45" s="45" t="s">
        <v>366</v>
      </c>
      <c r="H45" s="41" t="n">
        <v>7</v>
      </c>
      <c r="I45" s="49" t="n">
        <v>58</v>
      </c>
      <c r="J45" s="49" t="n">
        <v>86</v>
      </c>
      <c r="K45" s="45" t="s">
        <v>372</v>
      </c>
      <c r="L45" s="45" t="s">
        <v>408</v>
      </c>
    </row>
    <row r="46" customFormat="false" ht="15" hidden="false" customHeight="true" outlineLevel="0" collapsed="false">
      <c r="A46" s="35" t="n">
        <v>42</v>
      </c>
      <c r="B46" s="36" t="s">
        <v>145</v>
      </c>
      <c r="C46" s="35" t="s">
        <v>143</v>
      </c>
      <c r="D46" s="45" t="s">
        <v>369</v>
      </c>
      <c r="E46" s="45" t="s">
        <v>364</v>
      </c>
      <c r="F46" s="45" t="s">
        <v>365</v>
      </c>
      <c r="G46" s="45" t="s">
        <v>366</v>
      </c>
      <c r="H46" s="41" t="n">
        <v>7</v>
      </c>
      <c r="I46" s="49" t="n">
        <v>54</v>
      </c>
      <c r="J46" s="49" t="n">
        <v>83</v>
      </c>
      <c r="K46" s="45" t="s">
        <v>385</v>
      </c>
      <c r="L46" s="45" t="s">
        <v>437</v>
      </c>
    </row>
    <row r="47" customFormat="false" ht="15" hidden="false" customHeight="true" outlineLevel="0" collapsed="false">
      <c r="A47" s="26" t="n">
        <v>43</v>
      </c>
      <c r="B47" s="27" t="s">
        <v>147</v>
      </c>
      <c r="C47" s="26" t="s">
        <v>143</v>
      </c>
      <c r="D47" s="45" t="s">
        <v>369</v>
      </c>
      <c r="E47" s="45" t="s">
        <v>364</v>
      </c>
      <c r="F47" s="45" t="s">
        <v>365</v>
      </c>
      <c r="G47" s="45" t="s">
        <v>366</v>
      </c>
      <c r="H47" s="41" t="n">
        <v>6</v>
      </c>
      <c r="I47" s="49" t="n">
        <v>50</v>
      </c>
      <c r="J47" s="49" t="n">
        <v>79</v>
      </c>
      <c r="K47" s="45" t="s">
        <v>420</v>
      </c>
      <c r="L47" s="45" t="s">
        <v>438</v>
      </c>
    </row>
    <row r="48" customFormat="false" ht="15" hidden="false" customHeight="true" outlineLevel="0" collapsed="false">
      <c r="A48" s="29" t="n">
        <v>44</v>
      </c>
      <c r="B48" s="30" t="s">
        <v>148</v>
      </c>
      <c r="C48" s="29" t="s">
        <v>143</v>
      </c>
      <c r="D48" s="45" t="s">
        <v>363</v>
      </c>
      <c r="E48" s="45" t="s">
        <v>370</v>
      </c>
      <c r="F48" s="45" t="s">
        <v>391</v>
      </c>
      <c r="G48" s="45" t="s">
        <v>366</v>
      </c>
      <c r="H48" s="41" t="n">
        <v>7</v>
      </c>
      <c r="I48" s="49" t="n">
        <v>49</v>
      </c>
      <c r="J48" s="49" t="n">
        <v>78</v>
      </c>
      <c r="K48" s="45" t="s">
        <v>376</v>
      </c>
      <c r="L48" s="45" t="s">
        <v>381</v>
      </c>
    </row>
    <row r="49" customFormat="false" ht="15" hidden="false" customHeight="true" outlineLevel="0" collapsed="false">
      <c r="A49" s="32" t="n">
        <v>45</v>
      </c>
      <c r="B49" s="33" t="s">
        <v>149</v>
      </c>
      <c r="C49" s="32" t="s">
        <v>150</v>
      </c>
      <c r="D49" s="45" t="s">
        <v>369</v>
      </c>
      <c r="E49" s="45" t="s">
        <v>373</v>
      </c>
      <c r="F49" s="45" t="s">
        <v>374</v>
      </c>
      <c r="G49" s="45" t="s">
        <v>379</v>
      </c>
      <c r="H49" s="41" t="n">
        <v>7</v>
      </c>
      <c r="I49" s="49" t="n">
        <v>60</v>
      </c>
      <c r="J49" s="49" t="n">
        <v>86</v>
      </c>
      <c r="K49" s="45" t="s">
        <v>439</v>
      </c>
      <c r="L49" s="45" t="s">
        <v>429</v>
      </c>
    </row>
    <row r="50" customFormat="false" ht="15" hidden="false" customHeight="true" outlineLevel="0" collapsed="false">
      <c r="A50" s="32" t="n">
        <v>46</v>
      </c>
      <c r="B50" s="33" t="s">
        <v>152</v>
      </c>
      <c r="C50" s="32" t="s">
        <v>150</v>
      </c>
      <c r="D50" s="45" t="s">
        <v>363</v>
      </c>
      <c r="E50" s="45" t="s">
        <v>373</v>
      </c>
      <c r="F50" s="45" t="s">
        <v>374</v>
      </c>
      <c r="G50" s="45" t="s">
        <v>366</v>
      </c>
      <c r="H50" s="41" t="n">
        <v>6</v>
      </c>
      <c r="I50" s="49" t="n">
        <v>56</v>
      </c>
      <c r="J50" s="49" t="n">
        <v>85</v>
      </c>
      <c r="K50" s="45" t="s">
        <v>439</v>
      </c>
      <c r="L50" s="45" t="s">
        <v>380</v>
      </c>
    </row>
    <row r="51" customFormat="false" ht="15" hidden="false" customHeight="true" outlineLevel="0" collapsed="false">
      <c r="A51" s="23" t="n">
        <v>47</v>
      </c>
      <c r="B51" s="24" t="s">
        <v>154</v>
      </c>
      <c r="C51" s="23" t="s">
        <v>150</v>
      </c>
      <c r="D51" s="45" t="s">
        <v>405</v>
      </c>
      <c r="E51" s="45" t="s">
        <v>382</v>
      </c>
      <c r="F51" s="45" t="s">
        <v>391</v>
      </c>
      <c r="G51" s="45" t="s">
        <v>384</v>
      </c>
      <c r="H51" s="41" t="n">
        <v>6</v>
      </c>
      <c r="I51" s="49" t="n">
        <v>44</v>
      </c>
      <c r="J51" s="49" t="n">
        <v>76</v>
      </c>
      <c r="K51" s="45" t="s">
        <v>374</v>
      </c>
      <c r="L51" s="45" t="s">
        <v>414</v>
      </c>
    </row>
    <row r="52" customFormat="false" ht="15" hidden="false" customHeight="true" outlineLevel="0" collapsed="false">
      <c r="A52" s="29" t="n">
        <v>48</v>
      </c>
      <c r="B52" s="30" t="s">
        <v>156</v>
      </c>
      <c r="C52" s="29" t="s">
        <v>150</v>
      </c>
      <c r="D52" s="45" t="s">
        <v>369</v>
      </c>
      <c r="E52" s="45" t="s">
        <v>382</v>
      </c>
      <c r="F52" s="45" t="s">
        <v>391</v>
      </c>
      <c r="G52" s="45" t="s">
        <v>384</v>
      </c>
      <c r="H52" s="41" t="n">
        <v>6</v>
      </c>
      <c r="I52" s="49" t="n">
        <v>47</v>
      </c>
      <c r="J52" s="49" t="n">
        <v>76</v>
      </c>
      <c r="K52" s="45" t="s">
        <v>373</v>
      </c>
      <c r="L52" s="45" t="s">
        <v>421</v>
      </c>
    </row>
  </sheetData>
  <mergeCells count="3">
    <mergeCell ref="A1:L1"/>
    <mergeCell ref="A2:L2"/>
    <mergeCell ref="A3:L3"/>
  </mergeCells>
  <conditionalFormatting sqref="H5:H52">
    <cfRule type="dataBar" priority="2">
      <dataBar showValue="1" minLength="10" maxLength="90">
        <cfvo type="num" val="0"/>
        <cfvo type="num" val="10"/>
        <color rgb="FF2E75B6"/>
      </dataBar>
      <extLst>
        <ext xmlns:x14="http://schemas.microsoft.com/office/spreadsheetml/2009/9/main" uri="{B025F937-C7B1-47D3-B67F-A62EFF666E3E}">
          <x14:id>{C03C7A16-36A5-40EC-9759-CC58D9837712}</x14:id>
        </ext>
      </extLst>
    </cfRule>
  </conditionalFormatting>
  <conditionalFormatting sqref="I5:I52">
    <cfRule type="colorScale" priority="3">
      <colorScale>
        <cfvo type="min" val="0"/>
        <cfvo type="percentile" val="50"/>
        <cfvo type="max" val="0"/>
        <color rgb="FFFCE4D6"/>
        <color rgb="FFFFFFFF"/>
        <color rgb="FFDDEBF7"/>
      </colorScale>
    </cfRule>
  </conditionalFormatting>
  <conditionalFormatting sqref="J5:J5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3C7A16-36A5-40EC-9759-CC58D9837712}">
            <x14:dataBar minLength="10" maxLength="90" axisPosition="none" gradient="true">
              <x14:cfvo type="num">
                <xm:f>0</xm:f>
              </x14:cfvo>
              <x14:cfvo type="num">
                <xm:f>10</xm:f>
              </x14:cfvo>
              <x14:negativeFillColor rgb="FF2E75B6"/>
              <x14:axisColor rgb="FF000000"/>
            </x14:dataBar>
          </x14:cfRule>
          <xm:sqref>H5:H52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9" min="4" style="1" width="10"/>
    <col collapsed="false" customWidth="true" hidden="false" outlineLevel="0" max="10" min="10" style="1" width="9"/>
    <col collapsed="false" customWidth="true" hidden="false" outlineLevel="0" max="16" min="11" style="1" width="10"/>
    <col collapsed="false" customWidth="true" hidden="false" outlineLevel="0" max="17" min="17" style="1" width="9"/>
  </cols>
  <sheetData>
    <row r="1" customFormat="false" ht="30" hidden="false" customHeight="true" outlineLevel="0" collapsed="false">
      <c r="A1" s="19" t="s">
        <v>440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customFormat="false" ht="15" hidden="false" customHeight="true" outlineLevel="0" collapsed="false">
      <c r="A2" s="20" t="s">
        <v>441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customFormat="false" ht="18" hidden="false" customHeight="true" outlineLevel="0" collapsed="false">
      <c r="A3" s="21" t="s">
        <v>44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customFormat="false" ht="21.75" hidden="false" customHeight="true" outlineLevel="0" collapsed="false">
      <c r="A4" s="50" t="s">
        <v>442</v>
      </c>
      <c r="B4" s="50"/>
      <c r="C4" s="50"/>
      <c r="D4" s="51" t="s">
        <v>443</v>
      </c>
      <c r="E4" s="51"/>
      <c r="F4" s="51"/>
      <c r="G4" s="51"/>
      <c r="H4" s="51"/>
      <c r="I4" s="51"/>
      <c r="J4" s="52" t="s">
        <v>444</v>
      </c>
      <c r="K4" s="53" t="s">
        <v>445</v>
      </c>
      <c r="L4" s="53"/>
      <c r="M4" s="53"/>
      <c r="N4" s="53"/>
      <c r="O4" s="53"/>
      <c r="P4" s="53"/>
      <c r="Q4" s="54" t="s">
        <v>444</v>
      </c>
    </row>
    <row r="5" customFormat="false" ht="30" hidden="false" customHeight="true" outlineLevel="0" collapsed="false">
      <c r="A5" s="55" t="s">
        <v>45</v>
      </c>
      <c r="B5" s="55" t="s">
        <v>46</v>
      </c>
      <c r="C5" s="55" t="s">
        <v>48</v>
      </c>
      <c r="D5" s="56" t="s">
        <v>446</v>
      </c>
      <c r="E5" s="56" t="s">
        <v>382</v>
      </c>
      <c r="F5" s="56" t="s">
        <v>447</v>
      </c>
      <c r="G5" s="56" t="s">
        <v>448</v>
      </c>
      <c r="H5" s="56" t="s">
        <v>449</v>
      </c>
      <c r="I5" s="56" t="s">
        <v>450</v>
      </c>
      <c r="J5" s="56" t="s">
        <v>451</v>
      </c>
      <c r="K5" s="57" t="s">
        <v>446</v>
      </c>
      <c r="L5" s="57" t="s">
        <v>382</v>
      </c>
      <c r="M5" s="57" t="s">
        <v>447</v>
      </c>
      <c r="N5" s="57" t="s">
        <v>448</v>
      </c>
      <c r="O5" s="57" t="s">
        <v>449</v>
      </c>
      <c r="P5" s="57" t="s">
        <v>452</v>
      </c>
      <c r="Q5" s="57" t="s">
        <v>451</v>
      </c>
    </row>
    <row r="6" customFormat="false" ht="15" hidden="false" customHeight="true" outlineLevel="0" collapsed="false">
      <c r="A6" s="23" t="n">
        <v>1</v>
      </c>
      <c r="B6" s="24" t="s">
        <v>53</v>
      </c>
      <c r="C6" s="23" t="s">
        <v>55</v>
      </c>
      <c r="D6" s="58" t="n">
        <v>60</v>
      </c>
      <c r="E6" s="58" t="n">
        <v>12</v>
      </c>
      <c r="F6" s="58" t="n">
        <v>12.5</v>
      </c>
      <c r="G6" s="58" t="n">
        <v>7</v>
      </c>
      <c r="H6" s="58" t="n">
        <v>8</v>
      </c>
      <c r="I6" s="58" t="n">
        <v>0.5</v>
      </c>
      <c r="J6" s="59" t="n">
        <f aca="false">SUM(D6:I6)</f>
        <v>100</v>
      </c>
      <c r="K6" s="58" t="n">
        <v>55</v>
      </c>
      <c r="L6" s="58" t="n">
        <v>13</v>
      </c>
      <c r="M6" s="58" t="n">
        <v>14</v>
      </c>
      <c r="N6" s="58" t="n">
        <v>8</v>
      </c>
      <c r="O6" s="58" t="n">
        <v>7</v>
      </c>
      <c r="P6" s="58" t="n">
        <v>3</v>
      </c>
      <c r="Q6" s="59" t="n">
        <f aca="false">SUM(K6:P6)</f>
        <v>100</v>
      </c>
    </row>
    <row r="7" customFormat="false" ht="15" hidden="false" customHeight="true" outlineLevel="0" collapsed="false">
      <c r="A7" s="26" t="n">
        <v>2</v>
      </c>
      <c r="B7" s="27" t="s">
        <v>57</v>
      </c>
      <c r="C7" s="26" t="s">
        <v>55</v>
      </c>
      <c r="D7" s="58" t="n">
        <v>57</v>
      </c>
      <c r="E7" s="58" t="n">
        <v>10.8</v>
      </c>
      <c r="F7" s="58" t="n">
        <v>13.4</v>
      </c>
      <c r="G7" s="58" t="n">
        <v>7</v>
      </c>
      <c r="H7" s="58" t="n">
        <v>8</v>
      </c>
      <c r="I7" s="58" t="n">
        <v>3.8</v>
      </c>
      <c r="J7" s="59" t="n">
        <f aca="false">SUM(D7:I7)</f>
        <v>100</v>
      </c>
      <c r="K7" s="58" t="n">
        <v>56.8</v>
      </c>
      <c r="L7" s="58" t="n">
        <v>12.4</v>
      </c>
      <c r="M7" s="58" t="n">
        <v>13.4</v>
      </c>
      <c r="N7" s="58" t="n">
        <v>8</v>
      </c>
      <c r="O7" s="58" t="n">
        <v>7</v>
      </c>
      <c r="P7" s="58" t="n">
        <v>2.4</v>
      </c>
      <c r="Q7" s="59" t="n">
        <f aca="false">SUM(K7:P7)</f>
        <v>100</v>
      </c>
    </row>
    <row r="8" customFormat="false" ht="15" hidden="false" customHeight="true" outlineLevel="0" collapsed="false">
      <c r="A8" s="29" t="n">
        <v>3</v>
      </c>
      <c r="B8" s="30" t="s">
        <v>60</v>
      </c>
      <c r="C8" s="29" t="s">
        <v>55</v>
      </c>
      <c r="D8" s="58" t="n">
        <v>53.5</v>
      </c>
      <c r="E8" s="58" t="n">
        <v>9.4</v>
      </c>
      <c r="F8" s="58" t="n">
        <v>14.5</v>
      </c>
      <c r="G8" s="58" t="n">
        <v>7</v>
      </c>
      <c r="H8" s="58" t="n">
        <v>8</v>
      </c>
      <c r="I8" s="58" t="n">
        <v>7.6</v>
      </c>
      <c r="J8" s="59" t="n">
        <f aca="false">SUM(D8:I8)</f>
        <v>100</v>
      </c>
      <c r="K8" s="58" t="n">
        <v>58.9</v>
      </c>
      <c r="L8" s="58" t="n">
        <v>11.7</v>
      </c>
      <c r="M8" s="58" t="n">
        <v>12.7</v>
      </c>
      <c r="N8" s="58" t="n">
        <v>8</v>
      </c>
      <c r="O8" s="58" t="n">
        <v>7</v>
      </c>
      <c r="P8" s="58" t="n">
        <v>1.7</v>
      </c>
      <c r="Q8" s="59" t="n">
        <f aca="false">SUM(K8:P8)</f>
        <v>100</v>
      </c>
    </row>
    <row r="9" customFormat="false" ht="15" hidden="false" customHeight="true" outlineLevel="0" collapsed="false">
      <c r="A9" s="32" t="n">
        <v>4</v>
      </c>
      <c r="B9" s="33" t="s">
        <v>63</v>
      </c>
      <c r="C9" s="32" t="s">
        <v>55</v>
      </c>
      <c r="D9" s="58" t="n">
        <v>55.5</v>
      </c>
      <c r="E9" s="58" t="n">
        <v>10.2</v>
      </c>
      <c r="F9" s="58" t="n">
        <v>13.9</v>
      </c>
      <c r="G9" s="58" t="n">
        <v>7</v>
      </c>
      <c r="H9" s="58" t="n">
        <v>8</v>
      </c>
      <c r="I9" s="58" t="n">
        <v>5.4</v>
      </c>
      <c r="J9" s="59" t="n">
        <f aca="false">SUM(D9:I9)</f>
        <v>100</v>
      </c>
      <c r="K9" s="58" t="n">
        <v>57.7</v>
      </c>
      <c r="L9" s="58" t="n">
        <v>12.1</v>
      </c>
      <c r="M9" s="58" t="n">
        <v>13.1</v>
      </c>
      <c r="N9" s="58" t="n">
        <v>8</v>
      </c>
      <c r="O9" s="58" t="n">
        <v>7</v>
      </c>
      <c r="P9" s="58" t="n">
        <v>2.1</v>
      </c>
      <c r="Q9" s="59" t="n">
        <f aca="false">SUM(K9:P9)</f>
        <v>100</v>
      </c>
    </row>
    <row r="10" customFormat="false" ht="15" hidden="false" customHeight="true" outlineLevel="0" collapsed="false">
      <c r="A10" s="23" t="n">
        <v>5</v>
      </c>
      <c r="B10" s="24" t="s">
        <v>66</v>
      </c>
      <c r="C10" s="23" t="s">
        <v>67</v>
      </c>
      <c r="D10" s="58" t="n">
        <v>56.5</v>
      </c>
      <c r="E10" s="58" t="n">
        <v>10.6</v>
      </c>
      <c r="F10" s="58" t="n">
        <v>13.6</v>
      </c>
      <c r="G10" s="58" t="n">
        <v>7</v>
      </c>
      <c r="H10" s="58" t="n">
        <v>8</v>
      </c>
      <c r="I10" s="58" t="n">
        <v>4.3</v>
      </c>
      <c r="J10" s="59" t="n">
        <f aca="false">SUM(D10:I10)</f>
        <v>100</v>
      </c>
      <c r="K10" s="58" t="n">
        <v>57.1</v>
      </c>
      <c r="L10" s="58" t="n">
        <v>12.3</v>
      </c>
      <c r="M10" s="58" t="n">
        <v>13.3</v>
      </c>
      <c r="N10" s="58" t="n">
        <v>8</v>
      </c>
      <c r="O10" s="58" t="n">
        <v>7</v>
      </c>
      <c r="P10" s="58" t="n">
        <v>2.3</v>
      </c>
      <c r="Q10" s="59" t="n">
        <f aca="false">SUM(K10:P10)</f>
        <v>100</v>
      </c>
    </row>
    <row r="11" customFormat="false" ht="15" hidden="false" customHeight="true" outlineLevel="0" collapsed="false">
      <c r="A11" s="32" t="n">
        <v>6</v>
      </c>
      <c r="B11" s="33" t="s">
        <v>69</v>
      </c>
      <c r="C11" s="32" t="s">
        <v>67</v>
      </c>
      <c r="D11" s="58" t="n">
        <v>59.5</v>
      </c>
      <c r="E11" s="58" t="n">
        <v>11.8</v>
      </c>
      <c r="F11" s="58" t="n">
        <v>12.7</v>
      </c>
      <c r="G11" s="58" t="n">
        <v>7</v>
      </c>
      <c r="H11" s="58" t="n">
        <v>8</v>
      </c>
      <c r="I11" s="58" t="n">
        <v>1</v>
      </c>
      <c r="J11" s="59" t="n">
        <f aca="false">SUM(D11:I11)</f>
        <v>100</v>
      </c>
      <c r="K11" s="58" t="n">
        <v>55.3</v>
      </c>
      <c r="L11" s="58" t="n">
        <v>12.9</v>
      </c>
      <c r="M11" s="58" t="n">
        <v>13.9</v>
      </c>
      <c r="N11" s="58" t="n">
        <v>8</v>
      </c>
      <c r="O11" s="58" t="n">
        <v>7</v>
      </c>
      <c r="P11" s="58" t="n">
        <v>2.9</v>
      </c>
      <c r="Q11" s="59" t="n">
        <f aca="false">SUM(K11:P11)</f>
        <v>100</v>
      </c>
    </row>
    <row r="12" customFormat="false" ht="15" hidden="false" customHeight="true" outlineLevel="0" collapsed="false">
      <c r="A12" s="26" t="n">
        <v>7</v>
      </c>
      <c r="B12" s="27" t="s">
        <v>71</v>
      </c>
      <c r="C12" s="26" t="s">
        <v>67</v>
      </c>
      <c r="D12" s="58" t="n">
        <v>53</v>
      </c>
      <c r="E12" s="58" t="n">
        <v>9.2</v>
      </c>
      <c r="F12" s="58" t="n">
        <v>14.6</v>
      </c>
      <c r="G12" s="58" t="n">
        <v>7</v>
      </c>
      <c r="H12" s="58" t="n">
        <v>8</v>
      </c>
      <c r="I12" s="58" t="n">
        <v>8.2</v>
      </c>
      <c r="J12" s="59" t="n">
        <f aca="false">SUM(D12:I12)</f>
        <v>100</v>
      </c>
      <c r="K12" s="58" t="n">
        <v>59.2</v>
      </c>
      <c r="L12" s="58" t="n">
        <v>11.6</v>
      </c>
      <c r="M12" s="58" t="n">
        <v>12.6</v>
      </c>
      <c r="N12" s="58" t="n">
        <v>8</v>
      </c>
      <c r="O12" s="58" t="n">
        <v>7</v>
      </c>
      <c r="P12" s="58" t="n">
        <v>1.6</v>
      </c>
      <c r="Q12" s="59" t="n">
        <f aca="false">SUM(K12:P12)</f>
        <v>100</v>
      </c>
    </row>
    <row r="13" customFormat="false" ht="15" hidden="false" customHeight="true" outlineLevel="0" collapsed="false">
      <c r="A13" s="32" t="n">
        <v>8</v>
      </c>
      <c r="B13" s="33" t="s">
        <v>73</v>
      </c>
      <c r="C13" s="32" t="s">
        <v>67</v>
      </c>
      <c r="D13" s="58" t="n">
        <v>54</v>
      </c>
      <c r="E13" s="58" t="n">
        <v>9.6</v>
      </c>
      <c r="F13" s="58" t="n">
        <v>14.3</v>
      </c>
      <c r="G13" s="58" t="n">
        <v>7</v>
      </c>
      <c r="H13" s="58" t="n">
        <v>8</v>
      </c>
      <c r="I13" s="58" t="n">
        <v>7.1</v>
      </c>
      <c r="J13" s="59" t="n">
        <f aca="false">SUM(D13:I13)</f>
        <v>100</v>
      </c>
      <c r="K13" s="58" t="n">
        <v>58.6</v>
      </c>
      <c r="L13" s="58" t="n">
        <v>11.8</v>
      </c>
      <c r="M13" s="58" t="n">
        <v>12.8</v>
      </c>
      <c r="N13" s="58" t="n">
        <v>8</v>
      </c>
      <c r="O13" s="58" t="n">
        <v>7</v>
      </c>
      <c r="P13" s="58" t="n">
        <v>1.8</v>
      </c>
      <c r="Q13" s="59" t="n">
        <f aca="false">SUM(K13:P13)</f>
        <v>100</v>
      </c>
    </row>
    <row r="14" customFormat="false" ht="15" hidden="false" customHeight="true" outlineLevel="0" collapsed="false">
      <c r="A14" s="35" t="n">
        <v>9</v>
      </c>
      <c r="B14" s="36" t="s">
        <v>75</v>
      </c>
      <c r="C14" s="35" t="s">
        <v>77</v>
      </c>
      <c r="D14" s="58" t="n">
        <v>65</v>
      </c>
      <c r="E14" s="58" t="n">
        <v>14</v>
      </c>
      <c r="F14" s="58" t="n">
        <v>11</v>
      </c>
      <c r="G14" s="58" t="n">
        <v>7</v>
      </c>
      <c r="H14" s="58" t="n">
        <v>8</v>
      </c>
      <c r="I14" s="58" t="n">
        <v>0</v>
      </c>
      <c r="J14" s="59" t="n">
        <f aca="false">SUM(D14:I14)</f>
        <v>105</v>
      </c>
      <c r="K14" s="58" t="n">
        <v>52</v>
      </c>
      <c r="L14" s="58" t="n">
        <v>14</v>
      </c>
      <c r="M14" s="58" t="n">
        <v>15</v>
      </c>
      <c r="N14" s="58" t="n">
        <v>8</v>
      </c>
      <c r="O14" s="58" t="n">
        <v>7</v>
      </c>
      <c r="P14" s="58" t="n">
        <v>4</v>
      </c>
      <c r="Q14" s="59" t="n">
        <f aca="false">SUM(K14:P14)</f>
        <v>100</v>
      </c>
    </row>
    <row r="15" customFormat="false" ht="15" hidden="false" customHeight="true" outlineLevel="0" collapsed="false">
      <c r="A15" s="29" t="n">
        <v>10</v>
      </c>
      <c r="B15" s="30" t="s">
        <v>79</v>
      </c>
      <c r="C15" s="29" t="s">
        <v>77</v>
      </c>
      <c r="D15" s="58" t="n">
        <v>60.5</v>
      </c>
      <c r="E15" s="58" t="n">
        <v>12.2</v>
      </c>
      <c r="F15" s="58" t="n">
        <v>12.4</v>
      </c>
      <c r="G15" s="58" t="n">
        <v>7</v>
      </c>
      <c r="H15" s="58" t="n">
        <v>8</v>
      </c>
      <c r="I15" s="58" t="n">
        <v>0</v>
      </c>
      <c r="J15" s="59" t="n">
        <f aca="false">SUM(D15:I15)</f>
        <v>100.1</v>
      </c>
      <c r="K15" s="58" t="n">
        <v>54.7</v>
      </c>
      <c r="L15" s="58" t="n">
        <v>13.1</v>
      </c>
      <c r="M15" s="58" t="n">
        <v>14.1</v>
      </c>
      <c r="N15" s="58" t="n">
        <v>8</v>
      </c>
      <c r="O15" s="58" t="n">
        <v>7</v>
      </c>
      <c r="P15" s="58" t="n">
        <v>3.1</v>
      </c>
      <c r="Q15" s="59" t="n">
        <f aca="false">SUM(K15:P15)</f>
        <v>100</v>
      </c>
    </row>
    <row r="16" customFormat="false" ht="15" hidden="false" customHeight="true" outlineLevel="0" collapsed="false">
      <c r="A16" s="32" t="n">
        <v>11</v>
      </c>
      <c r="B16" s="33" t="s">
        <v>81</v>
      </c>
      <c r="C16" s="32" t="s">
        <v>77</v>
      </c>
      <c r="D16" s="58" t="n">
        <v>55</v>
      </c>
      <c r="E16" s="58" t="n">
        <v>10</v>
      </c>
      <c r="F16" s="58" t="n">
        <v>14</v>
      </c>
      <c r="G16" s="58" t="n">
        <v>7</v>
      </c>
      <c r="H16" s="58" t="n">
        <v>8</v>
      </c>
      <c r="I16" s="58" t="n">
        <v>6</v>
      </c>
      <c r="J16" s="59" t="n">
        <f aca="false">SUM(D16:I16)</f>
        <v>100</v>
      </c>
      <c r="K16" s="58" t="n">
        <v>58</v>
      </c>
      <c r="L16" s="58" t="n">
        <v>12</v>
      </c>
      <c r="M16" s="58" t="n">
        <v>13</v>
      </c>
      <c r="N16" s="58" t="n">
        <v>8</v>
      </c>
      <c r="O16" s="58" t="n">
        <v>7</v>
      </c>
      <c r="P16" s="58" t="n">
        <v>2</v>
      </c>
      <c r="Q16" s="59" t="n">
        <f aca="false">SUM(K16:P16)</f>
        <v>100</v>
      </c>
    </row>
    <row r="17" customFormat="false" ht="15" hidden="false" customHeight="true" outlineLevel="0" collapsed="false">
      <c r="A17" s="23" t="n">
        <v>12</v>
      </c>
      <c r="B17" s="24" t="s">
        <v>82</v>
      </c>
      <c r="C17" s="23" t="s">
        <v>77</v>
      </c>
      <c r="D17" s="58" t="n">
        <v>49</v>
      </c>
      <c r="E17" s="58" t="n">
        <v>7.6</v>
      </c>
      <c r="F17" s="58" t="n">
        <v>15.8</v>
      </c>
      <c r="G17" s="58" t="n">
        <v>7</v>
      </c>
      <c r="H17" s="58" t="n">
        <v>8</v>
      </c>
      <c r="I17" s="58" t="n">
        <v>12.6</v>
      </c>
      <c r="J17" s="59" t="n">
        <f aca="false">SUM(D17:I17)</f>
        <v>100</v>
      </c>
      <c r="K17" s="58" t="n">
        <v>61.6</v>
      </c>
      <c r="L17" s="58" t="n">
        <v>10.8</v>
      </c>
      <c r="M17" s="58" t="n">
        <v>11.8</v>
      </c>
      <c r="N17" s="58" t="n">
        <v>8</v>
      </c>
      <c r="O17" s="58" t="n">
        <v>7</v>
      </c>
      <c r="P17" s="58" t="n">
        <v>0.8</v>
      </c>
      <c r="Q17" s="59" t="n">
        <f aca="false">SUM(K17:P17)</f>
        <v>100</v>
      </c>
    </row>
    <row r="18" customFormat="false" ht="15" hidden="false" customHeight="true" outlineLevel="0" collapsed="false">
      <c r="A18" s="23" t="n">
        <v>13</v>
      </c>
      <c r="B18" s="24" t="s">
        <v>84</v>
      </c>
      <c r="C18" s="23" t="s">
        <v>85</v>
      </c>
      <c r="D18" s="58" t="n">
        <v>58</v>
      </c>
      <c r="E18" s="58" t="n">
        <v>11.2</v>
      </c>
      <c r="F18" s="58" t="n">
        <v>13.1</v>
      </c>
      <c r="G18" s="58" t="n">
        <v>7</v>
      </c>
      <c r="H18" s="58" t="n">
        <v>8</v>
      </c>
      <c r="I18" s="58" t="n">
        <v>2.7</v>
      </c>
      <c r="J18" s="59" t="n">
        <f aca="false">SUM(D18:I18)</f>
        <v>100</v>
      </c>
      <c r="K18" s="58" t="n">
        <v>56.2</v>
      </c>
      <c r="L18" s="58" t="n">
        <v>12.6</v>
      </c>
      <c r="M18" s="58" t="n">
        <v>13.6</v>
      </c>
      <c r="N18" s="58" t="n">
        <v>8</v>
      </c>
      <c r="O18" s="58" t="n">
        <v>7</v>
      </c>
      <c r="P18" s="58" t="n">
        <v>2.6</v>
      </c>
      <c r="Q18" s="59" t="n">
        <f aca="false">SUM(K18:P18)</f>
        <v>100</v>
      </c>
    </row>
    <row r="19" customFormat="false" ht="15" hidden="false" customHeight="true" outlineLevel="0" collapsed="false">
      <c r="A19" s="35" t="n">
        <v>14</v>
      </c>
      <c r="B19" s="36" t="s">
        <v>87</v>
      </c>
      <c r="C19" s="35" t="s">
        <v>85</v>
      </c>
      <c r="D19" s="58" t="n">
        <v>55</v>
      </c>
      <c r="E19" s="58" t="n">
        <v>10</v>
      </c>
      <c r="F19" s="58" t="n">
        <v>14</v>
      </c>
      <c r="G19" s="58" t="n">
        <v>7</v>
      </c>
      <c r="H19" s="58" t="n">
        <v>8</v>
      </c>
      <c r="I19" s="58" t="n">
        <v>6</v>
      </c>
      <c r="J19" s="59" t="n">
        <f aca="false">SUM(D19:I19)</f>
        <v>100</v>
      </c>
      <c r="K19" s="58" t="n">
        <v>58</v>
      </c>
      <c r="L19" s="58" t="n">
        <v>12</v>
      </c>
      <c r="M19" s="58" t="n">
        <v>13</v>
      </c>
      <c r="N19" s="58" t="n">
        <v>8</v>
      </c>
      <c r="O19" s="58" t="n">
        <v>7</v>
      </c>
      <c r="P19" s="58" t="n">
        <v>2</v>
      </c>
      <c r="Q19" s="59" t="n">
        <f aca="false">SUM(K19:P19)</f>
        <v>100</v>
      </c>
    </row>
    <row r="20" customFormat="false" ht="15" hidden="false" customHeight="true" outlineLevel="0" collapsed="false">
      <c r="A20" s="26" t="n">
        <v>15</v>
      </c>
      <c r="B20" s="27" t="s">
        <v>89</v>
      </c>
      <c r="C20" s="26" t="s">
        <v>85</v>
      </c>
      <c r="D20" s="58" t="n">
        <v>56.5</v>
      </c>
      <c r="E20" s="58" t="n">
        <v>10.6</v>
      </c>
      <c r="F20" s="58" t="n">
        <v>13.6</v>
      </c>
      <c r="G20" s="58" t="n">
        <v>7</v>
      </c>
      <c r="H20" s="58" t="n">
        <v>8</v>
      </c>
      <c r="I20" s="58" t="n">
        <v>4.3</v>
      </c>
      <c r="J20" s="59" t="n">
        <f aca="false">SUM(D20:I20)</f>
        <v>100</v>
      </c>
      <c r="K20" s="58" t="n">
        <v>57.1</v>
      </c>
      <c r="L20" s="58" t="n">
        <v>12.3</v>
      </c>
      <c r="M20" s="58" t="n">
        <v>13.3</v>
      </c>
      <c r="N20" s="58" t="n">
        <v>8</v>
      </c>
      <c r="O20" s="58" t="n">
        <v>7</v>
      </c>
      <c r="P20" s="58" t="n">
        <v>2.3</v>
      </c>
      <c r="Q20" s="59" t="n">
        <f aca="false">SUM(K20:P20)</f>
        <v>100</v>
      </c>
    </row>
    <row r="21" customFormat="false" ht="15" hidden="false" customHeight="true" outlineLevel="0" collapsed="false">
      <c r="A21" s="32" t="n">
        <v>16</v>
      </c>
      <c r="B21" s="33" t="s">
        <v>91</v>
      </c>
      <c r="C21" s="32" t="s">
        <v>85</v>
      </c>
      <c r="D21" s="58" t="n">
        <v>57.5</v>
      </c>
      <c r="E21" s="58" t="n">
        <v>11</v>
      </c>
      <c r="F21" s="58" t="n">
        <v>13.2</v>
      </c>
      <c r="G21" s="58" t="n">
        <v>7</v>
      </c>
      <c r="H21" s="58" t="n">
        <v>8</v>
      </c>
      <c r="I21" s="58" t="n">
        <v>3.2</v>
      </c>
      <c r="J21" s="59" t="n">
        <f aca="false">SUM(D21:I21)</f>
        <v>99.9</v>
      </c>
      <c r="K21" s="58" t="n">
        <v>56.5</v>
      </c>
      <c r="L21" s="58" t="n">
        <v>12.5</v>
      </c>
      <c r="M21" s="58" t="n">
        <v>13.5</v>
      </c>
      <c r="N21" s="58" t="n">
        <v>8</v>
      </c>
      <c r="O21" s="58" t="n">
        <v>7</v>
      </c>
      <c r="P21" s="58" t="n">
        <v>2.5</v>
      </c>
      <c r="Q21" s="59" t="n">
        <f aca="false">SUM(K21:P21)</f>
        <v>100</v>
      </c>
    </row>
    <row r="22" customFormat="false" ht="15" hidden="false" customHeight="true" outlineLevel="0" collapsed="false">
      <c r="A22" s="32" t="n">
        <v>17</v>
      </c>
      <c r="B22" s="33" t="s">
        <v>93</v>
      </c>
      <c r="C22" s="32" t="s">
        <v>94</v>
      </c>
      <c r="D22" s="58" t="n">
        <v>63.5</v>
      </c>
      <c r="E22" s="58" t="n">
        <v>13.4</v>
      </c>
      <c r="F22" s="58" t="n">
        <v>11.5</v>
      </c>
      <c r="G22" s="58" t="n">
        <v>7</v>
      </c>
      <c r="H22" s="58" t="n">
        <v>8</v>
      </c>
      <c r="I22" s="58" t="n">
        <v>0</v>
      </c>
      <c r="J22" s="59" t="n">
        <f aca="false">SUM(D22:I22)</f>
        <v>103.4</v>
      </c>
      <c r="K22" s="58" t="n">
        <v>52.9</v>
      </c>
      <c r="L22" s="58" t="n">
        <v>13.7</v>
      </c>
      <c r="M22" s="58" t="n">
        <v>14.7</v>
      </c>
      <c r="N22" s="58" t="n">
        <v>8</v>
      </c>
      <c r="O22" s="58" t="n">
        <v>7</v>
      </c>
      <c r="P22" s="58" t="n">
        <v>3.7</v>
      </c>
      <c r="Q22" s="59" t="n">
        <f aca="false">SUM(K22:P22)</f>
        <v>100</v>
      </c>
    </row>
    <row r="23" customFormat="false" ht="15" hidden="false" customHeight="true" outlineLevel="0" collapsed="false">
      <c r="A23" s="35" t="n">
        <v>18</v>
      </c>
      <c r="B23" s="36" t="s">
        <v>96</v>
      </c>
      <c r="C23" s="35" t="s">
        <v>94</v>
      </c>
      <c r="D23" s="58" t="n">
        <v>56.5</v>
      </c>
      <c r="E23" s="58" t="n">
        <v>10.6</v>
      </c>
      <c r="F23" s="58" t="n">
        <v>13.6</v>
      </c>
      <c r="G23" s="58" t="n">
        <v>7</v>
      </c>
      <c r="H23" s="58" t="n">
        <v>8</v>
      </c>
      <c r="I23" s="58" t="n">
        <v>4.3</v>
      </c>
      <c r="J23" s="59" t="n">
        <f aca="false">SUM(D23:I23)</f>
        <v>100</v>
      </c>
      <c r="K23" s="58" t="n">
        <v>57.1</v>
      </c>
      <c r="L23" s="58" t="n">
        <v>12.3</v>
      </c>
      <c r="M23" s="58" t="n">
        <v>13.3</v>
      </c>
      <c r="N23" s="58" t="n">
        <v>8</v>
      </c>
      <c r="O23" s="58" t="n">
        <v>7</v>
      </c>
      <c r="P23" s="58" t="n">
        <v>2.3</v>
      </c>
      <c r="Q23" s="59" t="n">
        <f aca="false">SUM(K23:P23)</f>
        <v>100</v>
      </c>
    </row>
    <row r="24" customFormat="false" ht="15" hidden="false" customHeight="true" outlineLevel="0" collapsed="false">
      <c r="A24" s="29" t="n">
        <v>19</v>
      </c>
      <c r="B24" s="30" t="s">
        <v>98</v>
      </c>
      <c r="C24" s="29" t="s">
        <v>94</v>
      </c>
      <c r="D24" s="58" t="n">
        <v>55.5</v>
      </c>
      <c r="E24" s="58" t="n">
        <v>10.2</v>
      </c>
      <c r="F24" s="58" t="n">
        <v>13.9</v>
      </c>
      <c r="G24" s="58" t="n">
        <v>7</v>
      </c>
      <c r="H24" s="58" t="n">
        <v>8</v>
      </c>
      <c r="I24" s="58" t="n">
        <v>5.4</v>
      </c>
      <c r="J24" s="59" t="n">
        <f aca="false">SUM(D24:I24)</f>
        <v>100</v>
      </c>
      <c r="K24" s="58" t="n">
        <v>57.7</v>
      </c>
      <c r="L24" s="58" t="n">
        <v>12.1</v>
      </c>
      <c r="M24" s="58" t="n">
        <v>13.1</v>
      </c>
      <c r="N24" s="58" t="n">
        <v>8</v>
      </c>
      <c r="O24" s="58" t="n">
        <v>7</v>
      </c>
      <c r="P24" s="58" t="n">
        <v>2.1</v>
      </c>
      <c r="Q24" s="59" t="n">
        <f aca="false">SUM(K24:P24)</f>
        <v>100</v>
      </c>
    </row>
    <row r="25" customFormat="false" ht="15" hidden="false" customHeight="true" outlineLevel="0" collapsed="false">
      <c r="A25" s="23" t="n">
        <v>20</v>
      </c>
      <c r="B25" s="24" t="s">
        <v>99</v>
      </c>
      <c r="C25" s="23" t="s">
        <v>94</v>
      </c>
      <c r="D25" s="58" t="n">
        <v>48</v>
      </c>
      <c r="E25" s="58" t="n">
        <v>7.2</v>
      </c>
      <c r="F25" s="58" t="n">
        <v>16.1</v>
      </c>
      <c r="G25" s="58" t="n">
        <v>7</v>
      </c>
      <c r="H25" s="58" t="n">
        <v>8</v>
      </c>
      <c r="I25" s="58" t="n">
        <v>13.7</v>
      </c>
      <c r="J25" s="59" t="n">
        <f aca="false">SUM(D25:I25)</f>
        <v>100</v>
      </c>
      <c r="K25" s="58" t="n">
        <v>62.2</v>
      </c>
      <c r="L25" s="58" t="n">
        <v>10.6</v>
      </c>
      <c r="M25" s="58" t="n">
        <v>11.6</v>
      </c>
      <c r="N25" s="58" t="n">
        <v>8</v>
      </c>
      <c r="O25" s="58" t="n">
        <v>7</v>
      </c>
      <c r="P25" s="58" t="n">
        <v>0.6</v>
      </c>
      <c r="Q25" s="59" t="n">
        <f aca="false">SUM(K25:P25)</f>
        <v>100</v>
      </c>
    </row>
    <row r="26" customFormat="false" ht="15" hidden="false" customHeight="true" outlineLevel="0" collapsed="false">
      <c r="A26" s="32" t="n">
        <v>21</v>
      </c>
      <c r="B26" s="33" t="s">
        <v>101</v>
      </c>
      <c r="C26" s="32" t="s">
        <v>102</v>
      </c>
      <c r="D26" s="58" t="n">
        <v>63</v>
      </c>
      <c r="E26" s="58" t="n">
        <v>13.2</v>
      </c>
      <c r="F26" s="58" t="n">
        <v>11.6</v>
      </c>
      <c r="G26" s="58" t="n">
        <v>7</v>
      </c>
      <c r="H26" s="58" t="n">
        <v>8</v>
      </c>
      <c r="I26" s="58" t="n">
        <v>0</v>
      </c>
      <c r="J26" s="59" t="n">
        <f aca="false">SUM(D26:I26)</f>
        <v>102.8</v>
      </c>
      <c r="K26" s="58" t="n">
        <v>53.2</v>
      </c>
      <c r="L26" s="58" t="n">
        <v>13.6</v>
      </c>
      <c r="M26" s="58" t="n">
        <v>14.6</v>
      </c>
      <c r="N26" s="58" t="n">
        <v>8</v>
      </c>
      <c r="O26" s="58" t="n">
        <v>7</v>
      </c>
      <c r="P26" s="58" t="n">
        <v>3.6</v>
      </c>
      <c r="Q26" s="59" t="n">
        <f aca="false">SUM(K26:P26)</f>
        <v>100</v>
      </c>
    </row>
    <row r="27" customFormat="false" ht="15" hidden="false" customHeight="true" outlineLevel="0" collapsed="false">
      <c r="A27" s="26" t="n">
        <v>22</v>
      </c>
      <c r="B27" s="27" t="s">
        <v>104</v>
      </c>
      <c r="C27" s="26" t="s">
        <v>102</v>
      </c>
      <c r="D27" s="58" t="n">
        <v>59</v>
      </c>
      <c r="E27" s="58" t="n">
        <v>11.6</v>
      </c>
      <c r="F27" s="58" t="n">
        <v>12.8</v>
      </c>
      <c r="G27" s="58" t="n">
        <v>7</v>
      </c>
      <c r="H27" s="58" t="n">
        <v>8</v>
      </c>
      <c r="I27" s="58" t="n">
        <v>1.6</v>
      </c>
      <c r="J27" s="59" t="n">
        <f aca="false">SUM(D27:I27)</f>
        <v>100</v>
      </c>
      <c r="K27" s="58" t="n">
        <v>55.6</v>
      </c>
      <c r="L27" s="58" t="n">
        <v>12.8</v>
      </c>
      <c r="M27" s="58" t="n">
        <v>13.8</v>
      </c>
      <c r="N27" s="58" t="n">
        <v>8</v>
      </c>
      <c r="O27" s="58" t="n">
        <v>7</v>
      </c>
      <c r="P27" s="58" t="n">
        <v>2.8</v>
      </c>
      <c r="Q27" s="59" t="n">
        <f aca="false">SUM(K27:P27)</f>
        <v>100</v>
      </c>
    </row>
    <row r="28" customFormat="false" ht="15" hidden="false" customHeight="true" outlineLevel="0" collapsed="false">
      <c r="A28" s="29" t="n">
        <v>23</v>
      </c>
      <c r="B28" s="30" t="s">
        <v>106</v>
      </c>
      <c r="C28" s="29" t="s">
        <v>102</v>
      </c>
      <c r="D28" s="58" t="n">
        <v>53.5</v>
      </c>
      <c r="E28" s="58" t="n">
        <v>9.4</v>
      </c>
      <c r="F28" s="58" t="n">
        <v>14.5</v>
      </c>
      <c r="G28" s="58" t="n">
        <v>7</v>
      </c>
      <c r="H28" s="58" t="n">
        <v>8</v>
      </c>
      <c r="I28" s="58" t="n">
        <v>7.6</v>
      </c>
      <c r="J28" s="59" t="n">
        <f aca="false">SUM(D28:I28)</f>
        <v>100</v>
      </c>
      <c r="K28" s="58" t="n">
        <v>58.9</v>
      </c>
      <c r="L28" s="58" t="n">
        <v>11.7</v>
      </c>
      <c r="M28" s="58" t="n">
        <v>12.7</v>
      </c>
      <c r="N28" s="58" t="n">
        <v>8</v>
      </c>
      <c r="O28" s="58" t="n">
        <v>7</v>
      </c>
      <c r="P28" s="58" t="n">
        <v>1.7</v>
      </c>
      <c r="Q28" s="59" t="n">
        <f aca="false">SUM(K28:P28)</f>
        <v>100</v>
      </c>
    </row>
    <row r="29" customFormat="false" ht="15" hidden="false" customHeight="true" outlineLevel="0" collapsed="false">
      <c r="A29" s="32" t="n">
        <v>24</v>
      </c>
      <c r="B29" s="33" t="s">
        <v>107</v>
      </c>
      <c r="C29" s="32" t="s">
        <v>102</v>
      </c>
      <c r="D29" s="58" t="n">
        <v>56</v>
      </c>
      <c r="E29" s="58" t="n">
        <v>10.4</v>
      </c>
      <c r="F29" s="58" t="n">
        <v>13.7</v>
      </c>
      <c r="G29" s="58" t="n">
        <v>7</v>
      </c>
      <c r="H29" s="58" t="n">
        <v>8</v>
      </c>
      <c r="I29" s="58" t="n">
        <v>4.9</v>
      </c>
      <c r="J29" s="59" t="n">
        <f aca="false">SUM(D29:I29)</f>
        <v>100</v>
      </c>
      <c r="K29" s="58" t="n">
        <v>57.4</v>
      </c>
      <c r="L29" s="58" t="n">
        <v>12.2</v>
      </c>
      <c r="M29" s="58" t="n">
        <v>13.2</v>
      </c>
      <c r="N29" s="58" t="n">
        <v>8</v>
      </c>
      <c r="O29" s="58" t="n">
        <v>7</v>
      </c>
      <c r="P29" s="58" t="n">
        <v>2.2</v>
      </c>
      <c r="Q29" s="59" t="n">
        <f aca="false">SUM(K29:P29)</f>
        <v>100</v>
      </c>
    </row>
    <row r="30" customFormat="false" ht="15" hidden="false" customHeight="true" outlineLevel="0" collapsed="false">
      <c r="A30" s="32" t="n">
        <v>25</v>
      </c>
      <c r="B30" s="33" t="s">
        <v>109</v>
      </c>
      <c r="C30" s="32" t="s">
        <v>110</v>
      </c>
      <c r="D30" s="58" t="n">
        <v>61.5</v>
      </c>
      <c r="E30" s="58" t="n">
        <v>12.6</v>
      </c>
      <c r="F30" s="58" t="n">
        <v>12.1</v>
      </c>
      <c r="G30" s="58" t="n">
        <v>7</v>
      </c>
      <c r="H30" s="58" t="n">
        <v>8</v>
      </c>
      <c r="I30" s="58" t="n">
        <v>0</v>
      </c>
      <c r="J30" s="59" t="n">
        <f aca="false">SUM(D30:I30)</f>
        <v>101.2</v>
      </c>
      <c r="K30" s="58" t="n">
        <v>54.1</v>
      </c>
      <c r="L30" s="58" t="n">
        <v>13.3</v>
      </c>
      <c r="M30" s="58" t="n">
        <v>14.3</v>
      </c>
      <c r="N30" s="58" t="n">
        <v>8</v>
      </c>
      <c r="O30" s="58" t="n">
        <v>7</v>
      </c>
      <c r="P30" s="58" t="n">
        <v>3.3</v>
      </c>
      <c r="Q30" s="59" t="n">
        <f aca="false">SUM(K30:P30)</f>
        <v>100</v>
      </c>
    </row>
    <row r="31" customFormat="false" ht="15" hidden="false" customHeight="true" outlineLevel="0" collapsed="false">
      <c r="A31" s="26" t="n">
        <v>26</v>
      </c>
      <c r="B31" s="27" t="s">
        <v>112</v>
      </c>
      <c r="C31" s="26" t="s">
        <v>110</v>
      </c>
      <c r="D31" s="58" t="n">
        <v>56.5</v>
      </c>
      <c r="E31" s="58" t="n">
        <v>10.6</v>
      </c>
      <c r="F31" s="58" t="n">
        <v>13.6</v>
      </c>
      <c r="G31" s="58" t="n">
        <v>7</v>
      </c>
      <c r="H31" s="58" t="n">
        <v>8</v>
      </c>
      <c r="I31" s="58" t="n">
        <v>4.3</v>
      </c>
      <c r="J31" s="59" t="n">
        <f aca="false">SUM(D31:I31)</f>
        <v>100</v>
      </c>
      <c r="K31" s="58" t="n">
        <v>57.1</v>
      </c>
      <c r="L31" s="58" t="n">
        <v>12.3</v>
      </c>
      <c r="M31" s="58" t="n">
        <v>13.3</v>
      </c>
      <c r="N31" s="58" t="n">
        <v>8</v>
      </c>
      <c r="O31" s="58" t="n">
        <v>7</v>
      </c>
      <c r="P31" s="58" t="n">
        <v>2.3</v>
      </c>
      <c r="Q31" s="59" t="n">
        <f aca="false">SUM(K31:P31)</f>
        <v>100</v>
      </c>
    </row>
    <row r="32" customFormat="false" ht="15" hidden="false" customHeight="true" outlineLevel="0" collapsed="false">
      <c r="A32" s="29" t="n">
        <v>27</v>
      </c>
      <c r="B32" s="30" t="s">
        <v>113</v>
      </c>
      <c r="C32" s="29" t="s">
        <v>110</v>
      </c>
      <c r="D32" s="58" t="n">
        <v>55.5</v>
      </c>
      <c r="E32" s="58" t="n">
        <v>10.2</v>
      </c>
      <c r="F32" s="58" t="n">
        <v>13.9</v>
      </c>
      <c r="G32" s="58" t="n">
        <v>7</v>
      </c>
      <c r="H32" s="58" t="n">
        <v>8</v>
      </c>
      <c r="I32" s="58" t="n">
        <v>5.4</v>
      </c>
      <c r="J32" s="59" t="n">
        <f aca="false">SUM(D32:I32)</f>
        <v>100</v>
      </c>
      <c r="K32" s="58" t="n">
        <v>57.7</v>
      </c>
      <c r="L32" s="58" t="n">
        <v>12.1</v>
      </c>
      <c r="M32" s="58" t="n">
        <v>13.1</v>
      </c>
      <c r="N32" s="58" t="n">
        <v>8</v>
      </c>
      <c r="O32" s="58" t="n">
        <v>7</v>
      </c>
      <c r="P32" s="58" t="n">
        <v>2.1</v>
      </c>
      <c r="Q32" s="59" t="n">
        <f aca="false">SUM(K32:P32)</f>
        <v>100</v>
      </c>
    </row>
    <row r="33" customFormat="false" ht="15" hidden="false" customHeight="true" outlineLevel="0" collapsed="false">
      <c r="A33" s="38" t="n">
        <v>28</v>
      </c>
      <c r="B33" s="39" t="s">
        <v>114</v>
      </c>
      <c r="C33" s="38" t="s">
        <v>110</v>
      </c>
      <c r="D33" s="58" t="n">
        <v>48.5</v>
      </c>
      <c r="E33" s="58" t="n">
        <v>7.4</v>
      </c>
      <c r="F33" s="58" t="n">
        <v>16</v>
      </c>
      <c r="G33" s="58" t="n">
        <v>7</v>
      </c>
      <c r="H33" s="58" t="n">
        <v>8</v>
      </c>
      <c r="I33" s="58" t="n">
        <v>13.1</v>
      </c>
      <c r="J33" s="59" t="n">
        <f aca="false">SUM(D33:I33)</f>
        <v>100</v>
      </c>
      <c r="K33" s="58" t="n">
        <v>61.9</v>
      </c>
      <c r="L33" s="58" t="n">
        <v>10.7</v>
      </c>
      <c r="M33" s="58" t="n">
        <v>11.7</v>
      </c>
      <c r="N33" s="58" t="n">
        <v>8</v>
      </c>
      <c r="O33" s="58" t="n">
        <v>7</v>
      </c>
      <c r="P33" s="58" t="n">
        <v>0.7</v>
      </c>
      <c r="Q33" s="59" t="n">
        <f aca="false">SUM(K33:P33)</f>
        <v>100</v>
      </c>
    </row>
    <row r="34" customFormat="false" ht="15" hidden="false" customHeight="true" outlineLevel="0" collapsed="false">
      <c r="A34" s="32" t="n">
        <v>29</v>
      </c>
      <c r="B34" s="33" t="s">
        <v>117</v>
      </c>
      <c r="C34" s="32" t="s">
        <v>118</v>
      </c>
      <c r="D34" s="58" t="n">
        <v>65.5</v>
      </c>
      <c r="E34" s="58" t="n">
        <v>14.2</v>
      </c>
      <c r="F34" s="58" t="n">
        <v>10.9</v>
      </c>
      <c r="G34" s="58" t="n">
        <v>7</v>
      </c>
      <c r="H34" s="58" t="n">
        <v>8</v>
      </c>
      <c r="I34" s="58" t="n">
        <v>0</v>
      </c>
      <c r="J34" s="59" t="n">
        <f aca="false">SUM(D34:I34)</f>
        <v>105.6</v>
      </c>
      <c r="K34" s="58" t="n">
        <v>51.7</v>
      </c>
      <c r="L34" s="58" t="n">
        <v>14.1</v>
      </c>
      <c r="M34" s="58" t="n">
        <v>15.1</v>
      </c>
      <c r="N34" s="58" t="n">
        <v>8</v>
      </c>
      <c r="O34" s="58" t="n">
        <v>7</v>
      </c>
      <c r="P34" s="58" t="n">
        <v>4.1</v>
      </c>
      <c r="Q34" s="59" t="n">
        <f aca="false">SUM(K34:P34)</f>
        <v>100</v>
      </c>
    </row>
    <row r="35" customFormat="false" ht="15" hidden="false" customHeight="true" outlineLevel="0" collapsed="false">
      <c r="A35" s="35" t="n">
        <v>30</v>
      </c>
      <c r="B35" s="36" t="s">
        <v>120</v>
      </c>
      <c r="C35" s="35" t="s">
        <v>118</v>
      </c>
      <c r="D35" s="58" t="n">
        <v>60.5</v>
      </c>
      <c r="E35" s="58" t="n">
        <v>12.2</v>
      </c>
      <c r="F35" s="58" t="n">
        <v>12.4</v>
      </c>
      <c r="G35" s="58" t="n">
        <v>7</v>
      </c>
      <c r="H35" s="58" t="n">
        <v>8</v>
      </c>
      <c r="I35" s="58" t="n">
        <v>0</v>
      </c>
      <c r="J35" s="59" t="n">
        <f aca="false">SUM(D35:I35)</f>
        <v>100.1</v>
      </c>
      <c r="K35" s="58" t="n">
        <v>54.7</v>
      </c>
      <c r="L35" s="58" t="n">
        <v>13.1</v>
      </c>
      <c r="M35" s="58" t="n">
        <v>14.1</v>
      </c>
      <c r="N35" s="58" t="n">
        <v>8</v>
      </c>
      <c r="O35" s="58" t="n">
        <v>7</v>
      </c>
      <c r="P35" s="58" t="n">
        <v>3.1</v>
      </c>
      <c r="Q35" s="59" t="n">
        <f aca="false">SUM(K35:P35)</f>
        <v>100</v>
      </c>
    </row>
    <row r="36" customFormat="false" ht="15" hidden="false" customHeight="true" outlineLevel="0" collapsed="false">
      <c r="A36" s="26" t="n">
        <v>31</v>
      </c>
      <c r="B36" s="27" t="s">
        <v>122</v>
      </c>
      <c r="C36" s="26" t="s">
        <v>118</v>
      </c>
      <c r="D36" s="58" t="n">
        <v>53</v>
      </c>
      <c r="E36" s="58" t="n">
        <v>9.2</v>
      </c>
      <c r="F36" s="58" t="n">
        <v>14.6</v>
      </c>
      <c r="G36" s="58" t="n">
        <v>7</v>
      </c>
      <c r="H36" s="58" t="n">
        <v>8</v>
      </c>
      <c r="I36" s="58" t="n">
        <v>8.2</v>
      </c>
      <c r="J36" s="59" t="n">
        <f aca="false">SUM(D36:I36)</f>
        <v>100</v>
      </c>
      <c r="K36" s="58" t="n">
        <v>59.2</v>
      </c>
      <c r="L36" s="58" t="n">
        <v>11.6</v>
      </c>
      <c r="M36" s="58" t="n">
        <v>12.6</v>
      </c>
      <c r="N36" s="58" t="n">
        <v>8</v>
      </c>
      <c r="O36" s="58" t="n">
        <v>7</v>
      </c>
      <c r="P36" s="58" t="n">
        <v>1.6</v>
      </c>
      <c r="Q36" s="59" t="n">
        <f aca="false">SUM(K36:P36)</f>
        <v>100</v>
      </c>
    </row>
    <row r="37" customFormat="false" ht="15" hidden="false" customHeight="true" outlineLevel="0" collapsed="false">
      <c r="A37" s="29" t="n">
        <v>32</v>
      </c>
      <c r="B37" s="30" t="s">
        <v>124</v>
      </c>
      <c r="C37" s="29" t="s">
        <v>118</v>
      </c>
      <c r="D37" s="58" t="n">
        <v>51</v>
      </c>
      <c r="E37" s="58" t="n">
        <v>8.4</v>
      </c>
      <c r="F37" s="58" t="n">
        <v>15.2</v>
      </c>
      <c r="G37" s="58" t="n">
        <v>7</v>
      </c>
      <c r="H37" s="58" t="n">
        <v>8</v>
      </c>
      <c r="I37" s="58" t="n">
        <v>10.4</v>
      </c>
      <c r="J37" s="59" t="n">
        <f aca="false">SUM(D37:I37)</f>
        <v>100</v>
      </c>
      <c r="K37" s="58" t="n">
        <v>60.4</v>
      </c>
      <c r="L37" s="58" t="n">
        <v>11.2</v>
      </c>
      <c r="M37" s="58" t="n">
        <v>12.2</v>
      </c>
      <c r="N37" s="58" t="n">
        <v>8</v>
      </c>
      <c r="O37" s="58" t="n">
        <v>7</v>
      </c>
      <c r="P37" s="58" t="n">
        <v>1.2</v>
      </c>
      <c r="Q37" s="59" t="n">
        <f aca="false">SUM(K37:P37)</f>
        <v>100</v>
      </c>
    </row>
    <row r="38" customFormat="false" ht="15" hidden="false" customHeight="true" outlineLevel="0" collapsed="false">
      <c r="A38" s="32" t="n">
        <v>33</v>
      </c>
      <c r="B38" s="33" t="s">
        <v>125</v>
      </c>
      <c r="C38" s="32" t="s">
        <v>126</v>
      </c>
      <c r="D38" s="58" t="n">
        <v>64.5</v>
      </c>
      <c r="E38" s="58" t="n">
        <v>13.8</v>
      </c>
      <c r="F38" s="58" t="n">
        <v>11.2</v>
      </c>
      <c r="G38" s="58" t="n">
        <v>7</v>
      </c>
      <c r="H38" s="58" t="n">
        <v>8</v>
      </c>
      <c r="I38" s="58" t="n">
        <v>0</v>
      </c>
      <c r="J38" s="59" t="n">
        <f aca="false">SUM(D38:I38)</f>
        <v>104.5</v>
      </c>
      <c r="K38" s="58" t="n">
        <v>52.3</v>
      </c>
      <c r="L38" s="58" t="n">
        <v>13.9</v>
      </c>
      <c r="M38" s="58" t="n">
        <v>14.9</v>
      </c>
      <c r="N38" s="58" t="n">
        <v>8</v>
      </c>
      <c r="O38" s="58" t="n">
        <v>7</v>
      </c>
      <c r="P38" s="58" t="n">
        <v>3.9</v>
      </c>
      <c r="Q38" s="59" t="n">
        <f aca="false">SUM(K38:P38)</f>
        <v>100</v>
      </c>
    </row>
    <row r="39" customFormat="false" ht="15" hidden="false" customHeight="true" outlineLevel="0" collapsed="false">
      <c r="A39" s="29" t="n">
        <v>34</v>
      </c>
      <c r="B39" s="30" t="s">
        <v>128</v>
      </c>
      <c r="C39" s="29" t="s">
        <v>126</v>
      </c>
      <c r="D39" s="58" t="n">
        <v>58</v>
      </c>
      <c r="E39" s="58" t="n">
        <v>11.2</v>
      </c>
      <c r="F39" s="58" t="n">
        <v>13.1</v>
      </c>
      <c r="G39" s="58" t="n">
        <v>7</v>
      </c>
      <c r="H39" s="58" t="n">
        <v>8</v>
      </c>
      <c r="I39" s="58" t="n">
        <v>2.7</v>
      </c>
      <c r="J39" s="59" t="n">
        <f aca="false">SUM(D39:I39)</f>
        <v>100</v>
      </c>
      <c r="K39" s="58" t="n">
        <v>56.2</v>
      </c>
      <c r="L39" s="58" t="n">
        <v>12.6</v>
      </c>
      <c r="M39" s="58" t="n">
        <v>13.6</v>
      </c>
      <c r="N39" s="58" t="n">
        <v>8</v>
      </c>
      <c r="O39" s="58" t="n">
        <v>7</v>
      </c>
      <c r="P39" s="58" t="n">
        <v>2.6</v>
      </c>
      <c r="Q39" s="59" t="n">
        <f aca="false">SUM(K39:P39)</f>
        <v>100</v>
      </c>
    </row>
    <row r="40" customFormat="false" ht="15" hidden="false" customHeight="true" outlineLevel="0" collapsed="false">
      <c r="A40" s="32" t="n">
        <v>35</v>
      </c>
      <c r="B40" s="33" t="s">
        <v>130</v>
      </c>
      <c r="C40" s="32" t="s">
        <v>126</v>
      </c>
      <c r="D40" s="58" t="n">
        <v>58</v>
      </c>
      <c r="E40" s="58" t="n">
        <v>11.2</v>
      </c>
      <c r="F40" s="58" t="n">
        <v>13.1</v>
      </c>
      <c r="G40" s="58" t="n">
        <v>7</v>
      </c>
      <c r="H40" s="58" t="n">
        <v>8</v>
      </c>
      <c r="I40" s="58" t="n">
        <v>2.7</v>
      </c>
      <c r="J40" s="59" t="n">
        <f aca="false">SUM(D40:I40)</f>
        <v>100</v>
      </c>
      <c r="K40" s="58" t="n">
        <v>56.2</v>
      </c>
      <c r="L40" s="58" t="n">
        <v>12.6</v>
      </c>
      <c r="M40" s="58" t="n">
        <v>13.6</v>
      </c>
      <c r="N40" s="58" t="n">
        <v>8</v>
      </c>
      <c r="O40" s="58" t="n">
        <v>7</v>
      </c>
      <c r="P40" s="58" t="n">
        <v>2.6</v>
      </c>
      <c r="Q40" s="59" t="n">
        <f aca="false">SUM(K40:P40)</f>
        <v>100</v>
      </c>
    </row>
    <row r="41" customFormat="false" ht="15" hidden="false" customHeight="true" outlineLevel="0" collapsed="false">
      <c r="A41" s="26" t="n">
        <v>36</v>
      </c>
      <c r="B41" s="27" t="s">
        <v>132</v>
      </c>
      <c r="C41" s="26" t="s">
        <v>126</v>
      </c>
      <c r="D41" s="58" t="n">
        <v>52</v>
      </c>
      <c r="E41" s="58" t="n">
        <v>8.8</v>
      </c>
      <c r="F41" s="58" t="n">
        <v>14.9</v>
      </c>
      <c r="G41" s="58" t="n">
        <v>7</v>
      </c>
      <c r="H41" s="58" t="n">
        <v>8</v>
      </c>
      <c r="I41" s="58" t="n">
        <v>9.3</v>
      </c>
      <c r="J41" s="59" t="n">
        <f aca="false">SUM(D41:I41)</f>
        <v>100</v>
      </c>
      <c r="K41" s="58" t="n">
        <v>59.8</v>
      </c>
      <c r="L41" s="58" t="n">
        <v>11.4</v>
      </c>
      <c r="M41" s="58" t="n">
        <v>12.4</v>
      </c>
      <c r="N41" s="58" t="n">
        <v>8</v>
      </c>
      <c r="O41" s="58" t="n">
        <v>7</v>
      </c>
      <c r="P41" s="58" t="n">
        <v>1.4</v>
      </c>
      <c r="Q41" s="59" t="n">
        <f aca="false">SUM(K41:P41)</f>
        <v>100</v>
      </c>
    </row>
    <row r="42" customFormat="false" ht="15" hidden="false" customHeight="true" outlineLevel="0" collapsed="false">
      <c r="A42" s="35" t="n">
        <v>37</v>
      </c>
      <c r="B42" s="36" t="s">
        <v>134</v>
      </c>
      <c r="C42" s="35" t="s">
        <v>135</v>
      </c>
      <c r="D42" s="58" t="n">
        <v>65</v>
      </c>
      <c r="E42" s="58" t="n">
        <v>14</v>
      </c>
      <c r="F42" s="58" t="n">
        <v>11</v>
      </c>
      <c r="G42" s="58" t="n">
        <v>7</v>
      </c>
      <c r="H42" s="58" t="n">
        <v>8</v>
      </c>
      <c r="I42" s="58" t="n">
        <v>0</v>
      </c>
      <c r="J42" s="59" t="n">
        <f aca="false">SUM(D42:I42)</f>
        <v>105</v>
      </c>
      <c r="K42" s="58" t="n">
        <v>52</v>
      </c>
      <c r="L42" s="58" t="n">
        <v>14</v>
      </c>
      <c r="M42" s="58" t="n">
        <v>15</v>
      </c>
      <c r="N42" s="58" t="n">
        <v>8</v>
      </c>
      <c r="O42" s="58" t="n">
        <v>7</v>
      </c>
      <c r="P42" s="58" t="n">
        <v>4</v>
      </c>
      <c r="Q42" s="59" t="n">
        <f aca="false">SUM(K42:P42)</f>
        <v>100</v>
      </c>
    </row>
    <row r="43" customFormat="false" ht="15" hidden="false" customHeight="true" outlineLevel="0" collapsed="false">
      <c r="A43" s="32" t="n">
        <v>38</v>
      </c>
      <c r="B43" s="33" t="s">
        <v>137</v>
      </c>
      <c r="C43" s="32" t="s">
        <v>135</v>
      </c>
      <c r="D43" s="58" t="n">
        <v>57</v>
      </c>
      <c r="E43" s="58" t="n">
        <v>10.8</v>
      </c>
      <c r="F43" s="58" t="n">
        <v>13.4</v>
      </c>
      <c r="G43" s="58" t="n">
        <v>7</v>
      </c>
      <c r="H43" s="58" t="n">
        <v>8</v>
      </c>
      <c r="I43" s="58" t="n">
        <v>3.8</v>
      </c>
      <c r="J43" s="59" t="n">
        <f aca="false">SUM(D43:I43)</f>
        <v>100</v>
      </c>
      <c r="K43" s="58" t="n">
        <v>56.8</v>
      </c>
      <c r="L43" s="58" t="n">
        <v>12.4</v>
      </c>
      <c r="M43" s="58" t="n">
        <v>13.4</v>
      </c>
      <c r="N43" s="58" t="n">
        <v>8</v>
      </c>
      <c r="O43" s="58" t="n">
        <v>7</v>
      </c>
      <c r="P43" s="58" t="n">
        <v>2.4</v>
      </c>
      <c r="Q43" s="59" t="n">
        <f aca="false">SUM(K43:P43)</f>
        <v>100</v>
      </c>
    </row>
    <row r="44" customFormat="false" ht="15" hidden="false" customHeight="true" outlineLevel="0" collapsed="false">
      <c r="A44" s="29" t="n">
        <v>39</v>
      </c>
      <c r="B44" s="30" t="s">
        <v>139</v>
      </c>
      <c r="C44" s="29" t="s">
        <v>135</v>
      </c>
      <c r="D44" s="58" t="n">
        <v>55</v>
      </c>
      <c r="E44" s="58" t="n">
        <v>10</v>
      </c>
      <c r="F44" s="58" t="n">
        <v>14</v>
      </c>
      <c r="G44" s="58" t="n">
        <v>7</v>
      </c>
      <c r="H44" s="58" t="n">
        <v>8</v>
      </c>
      <c r="I44" s="58" t="n">
        <v>6</v>
      </c>
      <c r="J44" s="59" t="n">
        <f aca="false">SUM(D44:I44)</f>
        <v>100</v>
      </c>
      <c r="K44" s="58" t="n">
        <v>58</v>
      </c>
      <c r="L44" s="58" t="n">
        <v>12</v>
      </c>
      <c r="M44" s="58" t="n">
        <v>13</v>
      </c>
      <c r="N44" s="58" t="n">
        <v>8</v>
      </c>
      <c r="O44" s="58" t="n">
        <v>7</v>
      </c>
      <c r="P44" s="58" t="n">
        <v>2</v>
      </c>
      <c r="Q44" s="59" t="n">
        <f aca="false">SUM(K44:P44)</f>
        <v>100</v>
      </c>
    </row>
    <row r="45" customFormat="false" ht="15" hidden="false" customHeight="true" outlineLevel="0" collapsed="false">
      <c r="A45" s="26" t="n">
        <v>40</v>
      </c>
      <c r="B45" s="27" t="s">
        <v>141</v>
      </c>
      <c r="C45" s="26" t="s">
        <v>135</v>
      </c>
      <c r="D45" s="58" t="n">
        <v>50</v>
      </c>
      <c r="E45" s="58" t="n">
        <v>8</v>
      </c>
      <c r="F45" s="58" t="n">
        <v>15.5</v>
      </c>
      <c r="G45" s="58" t="n">
        <v>7</v>
      </c>
      <c r="H45" s="58" t="n">
        <v>8</v>
      </c>
      <c r="I45" s="58" t="n">
        <v>11.5</v>
      </c>
      <c r="J45" s="59" t="n">
        <f aca="false">SUM(D45:I45)</f>
        <v>100</v>
      </c>
      <c r="K45" s="58" t="n">
        <v>61</v>
      </c>
      <c r="L45" s="58" t="n">
        <v>11</v>
      </c>
      <c r="M45" s="58" t="n">
        <v>12</v>
      </c>
      <c r="N45" s="58" t="n">
        <v>8</v>
      </c>
      <c r="O45" s="58" t="n">
        <v>7</v>
      </c>
      <c r="P45" s="58" t="n">
        <v>1</v>
      </c>
      <c r="Q45" s="59" t="n">
        <f aca="false">SUM(K45:P45)</f>
        <v>100</v>
      </c>
    </row>
    <row r="46" customFormat="false" ht="15" hidden="false" customHeight="true" outlineLevel="0" collapsed="false">
      <c r="A46" s="32" t="n">
        <v>41</v>
      </c>
      <c r="B46" s="33" t="s">
        <v>142</v>
      </c>
      <c r="C46" s="32" t="s">
        <v>143</v>
      </c>
      <c r="D46" s="58" t="n">
        <v>63</v>
      </c>
      <c r="E46" s="58" t="n">
        <v>13.2</v>
      </c>
      <c r="F46" s="58" t="n">
        <v>11.6</v>
      </c>
      <c r="G46" s="58" t="n">
        <v>7</v>
      </c>
      <c r="H46" s="58" t="n">
        <v>8</v>
      </c>
      <c r="I46" s="58" t="n">
        <v>0</v>
      </c>
      <c r="J46" s="59" t="n">
        <f aca="false">SUM(D46:I46)</f>
        <v>102.8</v>
      </c>
      <c r="K46" s="58" t="n">
        <v>53.2</v>
      </c>
      <c r="L46" s="58" t="n">
        <v>13.6</v>
      </c>
      <c r="M46" s="58" t="n">
        <v>14.6</v>
      </c>
      <c r="N46" s="58" t="n">
        <v>8</v>
      </c>
      <c r="O46" s="58" t="n">
        <v>7</v>
      </c>
      <c r="P46" s="58" t="n">
        <v>3.6</v>
      </c>
      <c r="Q46" s="59" t="n">
        <f aca="false">SUM(K46:P46)</f>
        <v>100</v>
      </c>
    </row>
    <row r="47" customFormat="false" ht="15" hidden="false" customHeight="true" outlineLevel="0" collapsed="false">
      <c r="A47" s="35" t="n">
        <v>42</v>
      </c>
      <c r="B47" s="36" t="s">
        <v>145</v>
      </c>
      <c r="C47" s="35" t="s">
        <v>143</v>
      </c>
      <c r="D47" s="58" t="n">
        <v>60.5</v>
      </c>
      <c r="E47" s="58" t="n">
        <v>12.2</v>
      </c>
      <c r="F47" s="58" t="n">
        <v>12.4</v>
      </c>
      <c r="G47" s="58" t="n">
        <v>7</v>
      </c>
      <c r="H47" s="58" t="n">
        <v>8</v>
      </c>
      <c r="I47" s="58" t="n">
        <v>0</v>
      </c>
      <c r="J47" s="59" t="n">
        <f aca="false">SUM(D47:I47)</f>
        <v>100.1</v>
      </c>
      <c r="K47" s="58" t="n">
        <v>54.7</v>
      </c>
      <c r="L47" s="58" t="n">
        <v>13.1</v>
      </c>
      <c r="M47" s="58" t="n">
        <v>14.1</v>
      </c>
      <c r="N47" s="58" t="n">
        <v>8</v>
      </c>
      <c r="O47" s="58" t="n">
        <v>7</v>
      </c>
      <c r="P47" s="58" t="n">
        <v>3.1</v>
      </c>
      <c r="Q47" s="59" t="n">
        <f aca="false">SUM(K47:P47)</f>
        <v>100</v>
      </c>
    </row>
    <row r="48" customFormat="false" ht="15" hidden="false" customHeight="true" outlineLevel="0" collapsed="false">
      <c r="A48" s="26" t="n">
        <v>43</v>
      </c>
      <c r="B48" s="27" t="s">
        <v>147</v>
      </c>
      <c r="C48" s="26" t="s">
        <v>143</v>
      </c>
      <c r="D48" s="58" t="n">
        <v>52.5</v>
      </c>
      <c r="E48" s="58" t="n">
        <v>9</v>
      </c>
      <c r="F48" s="58" t="n">
        <v>14.8</v>
      </c>
      <c r="G48" s="58" t="n">
        <v>7</v>
      </c>
      <c r="H48" s="58" t="n">
        <v>8</v>
      </c>
      <c r="I48" s="58" t="n">
        <v>8.7</v>
      </c>
      <c r="J48" s="59" t="n">
        <f aca="false">SUM(D48:I48)</f>
        <v>100</v>
      </c>
      <c r="K48" s="58" t="n">
        <v>59.5</v>
      </c>
      <c r="L48" s="58" t="n">
        <v>11.5</v>
      </c>
      <c r="M48" s="58" t="n">
        <v>12.5</v>
      </c>
      <c r="N48" s="58" t="n">
        <v>8</v>
      </c>
      <c r="O48" s="58" t="n">
        <v>7</v>
      </c>
      <c r="P48" s="58" t="n">
        <v>1.5</v>
      </c>
      <c r="Q48" s="59" t="n">
        <f aca="false">SUM(K48:P48)</f>
        <v>100</v>
      </c>
    </row>
    <row r="49" customFormat="false" ht="15" hidden="false" customHeight="true" outlineLevel="0" collapsed="false">
      <c r="A49" s="29" t="n">
        <v>44</v>
      </c>
      <c r="B49" s="30" t="s">
        <v>148</v>
      </c>
      <c r="C49" s="29" t="s">
        <v>143</v>
      </c>
      <c r="D49" s="58" t="n">
        <v>52</v>
      </c>
      <c r="E49" s="58" t="n">
        <v>8.8</v>
      </c>
      <c r="F49" s="58" t="n">
        <v>14.9</v>
      </c>
      <c r="G49" s="58" t="n">
        <v>7</v>
      </c>
      <c r="H49" s="58" t="n">
        <v>8</v>
      </c>
      <c r="I49" s="58" t="n">
        <v>9.3</v>
      </c>
      <c r="J49" s="59" t="n">
        <f aca="false">SUM(D49:I49)</f>
        <v>100</v>
      </c>
      <c r="K49" s="58" t="n">
        <v>59.8</v>
      </c>
      <c r="L49" s="58" t="n">
        <v>11.4</v>
      </c>
      <c r="M49" s="58" t="n">
        <v>12.4</v>
      </c>
      <c r="N49" s="58" t="n">
        <v>8</v>
      </c>
      <c r="O49" s="58" t="n">
        <v>7</v>
      </c>
      <c r="P49" s="58" t="n">
        <v>1.4</v>
      </c>
      <c r="Q49" s="59" t="n">
        <f aca="false">SUM(K49:P49)</f>
        <v>100</v>
      </c>
    </row>
    <row r="50" customFormat="false" ht="15" hidden="false" customHeight="true" outlineLevel="0" collapsed="false">
      <c r="A50" s="32" t="n">
        <v>45</v>
      </c>
      <c r="B50" s="33" t="s">
        <v>149</v>
      </c>
      <c r="C50" s="32" t="s">
        <v>150</v>
      </c>
      <c r="D50" s="58" t="n">
        <v>64</v>
      </c>
      <c r="E50" s="58" t="n">
        <v>13.6</v>
      </c>
      <c r="F50" s="58" t="n">
        <v>11.3</v>
      </c>
      <c r="G50" s="58" t="n">
        <v>7</v>
      </c>
      <c r="H50" s="58" t="n">
        <v>8</v>
      </c>
      <c r="I50" s="58" t="n">
        <v>0</v>
      </c>
      <c r="J50" s="59" t="n">
        <f aca="false">SUM(D50:I50)</f>
        <v>103.9</v>
      </c>
      <c r="K50" s="58" t="n">
        <v>52.6</v>
      </c>
      <c r="L50" s="58" t="n">
        <v>13.8</v>
      </c>
      <c r="M50" s="58" t="n">
        <v>14.8</v>
      </c>
      <c r="N50" s="58" t="n">
        <v>8</v>
      </c>
      <c r="O50" s="58" t="n">
        <v>7</v>
      </c>
      <c r="P50" s="58" t="n">
        <v>3.8</v>
      </c>
      <c r="Q50" s="59" t="n">
        <f aca="false">SUM(K50:P50)</f>
        <v>100</v>
      </c>
    </row>
    <row r="51" customFormat="false" ht="15" hidden="false" customHeight="true" outlineLevel="0" collapsed="false">
      <c r="A51" s="32" t="n">
        <v>46</v>
      </c>
      <c r="B51" s="33" t="s">
        <v>152</v>
      </c>
      <c r="C51" s="32" t="s">
        <v>150</v>
      </c>
      <c r="D51" s="58" t="n">
        <v>61.5</v>
      </c>
      <c r="E51" s="58" t="n">
        <v>12.6</v>
      </c>
      <c r="F51" s="58" t="n">
        <v>12.1</v>
      </c>
      <c r="G51" s="58" t="n">
        <v>7</v>
      </c>
      <c r="H51" s="58" t="n">
        <v>8</v>
      </c>
      <c r="I51" s="58" t="n">
        <v>0</v>
      </c>
      <c r="J51" s="59" t="n">
        <f aca="false">SUM(D51:I51)</f>
        <v>101.2</v>
      </c>
      <c r="K51" s="58" t="n">
        <v>54.1</v>
      </c>
      <c r="L51" s="58" t="n">
        <v>13.3</v>
      </c>
      <c r="M51" s="58" t="n">
        <v>14.3</v>
      </c>
      <c r="N51" s="58" t="n">
        <v>8</v>
      </c>
      <c r="O51" s="58" t="n">
        <v>7</v>
      </c>
      <c r="P51" s="58" t="n">
        <v>3.3</v>
      </c>
      <c r="Q51" s="59" t="n">
        <f aca="false">SUM(K51:P51)</f>
        <v>100</v>
      </c>
    </row>
    <row r="52" customFormat="false" ht="15" hidden="false" customHeight="true" outlineLevel="0" collapsed="false">
      <c r="A52" s="23" t="n">
        <v>47</v>
      </c>
      <c r="B52" s="24" t="s">
        <v>154</v>
      </c>
      <c r="C52" s="23" t="s">
        <v>150</v>
      </c>
      <c r="D52" s="58" t="n">
        <v>52.5</v>
      </c>
      <c r="E52" s="58" t="n">
        <v>9</v>
      </c>
      <c r="F52" s="58" t="n">
        <v>14.8</v>
      </c>
      <c r="G52" s="58" t="n">
        <v>7</v>
      </c>
      <c r="H52" s="58" t="n">
        <v>8</v>
      </c>
      <c r="I52" s="58" t="n">
        <v>8.7</v>
      </c>
      <c r="J52" s="59" t="n">
        <f aca="false">SUM(D52:I52)</f>
        <v>100</v>
      </c>
      <c r="K52" s="58" t="n">
        <v>59.5</v>
      </c>
      <c r="L52" s="58" t="n">
        <v>11.5</v>
      </c>
      <c r="M52" s="58" t="n">
        <v>12.5</v>
      </c>
      <c r="N52" s="58" t="n">
        <v>8</v>
      </c>
      <c r="O52" s="58" t="n">
        <v>7</v>
      </c>
      <c r="P52" s="58" t="n">
        <v>1.5</v>
      </c>
      <c r="Q52" s="59" t="n">
        <f aca="false">SUM(K52:P52)</f>
        <v>100</v>
      </c>
    </row>
    <row r="53" customFormat="false" ht="15" hidden="false" customHeight="true" outlineLevel="0" collapsed="false">
      <c r="A53" s="29" t="n">
        <v>48</v>
      </c>
      <c r="B53" s="30" t="s">
        <v>156</v>
      </c>
      <c r="C53" s="29" t="s">
        <v>150</v>
      </c>
      <c r="D53" s="58" t="n">
        <v>54</v>
      </c>
      <c r="E53" s="58" t="n">
        <v>9.6</v>
      </c>
      <c r="F53" s="58" t="n">
        <v>14.3</v>
      </c>
      <c r="G53" s="58" t="n">
        <v>7</v>
      </c>
      <c r="H53" s="58" t="n">
        <v>8</v>
      </c>
      <c r="I53" s="58" t="n">
        <v>7.1</v>
      </c>
      <c r="J53" s="59" t="n">
        <f aca="false">SUM(D53:I53)</f>
        <v>100</v>
      </c>
      <c r="K53" s="58" t="n">
        <v>58.6</v>
      </c>
      <c r="L53" s="58" t="n">
        <v>11.8</v>
      </c>
      <c r="M53" s="58" t="n">
        <v>12.8</v>
      </c>
      <c r="N53" s="58" t="n">
        <v>8</v>
      </c>
      <c r="O53" s="58" t="n">
        <v>7</v>
      </c>
      <c r="P53" s="58" t="n">
        <v>1.8</v>
      </c>
      <c r="Q53" s="59" t="n">
        <f aca="false">SUM(K53:P53)</f>
        <v>100</v>
      </c>
    </row>
  </sheetData>
  <mergeCells count="6">
    <mergeCell ref="A1:Q1"/>
    <mergeCell ref="A2:Q2"/>
    <mergeCell ref="A3:Q3"/>
    <mergeCell ref="A4:C4"/>
    <mergeCell ref="D4:I4"/>
    <mergeCell ref="K4:P4"/>
  </mergeCells>
  <conditionalFormatting sqref="J6:J53">
    <cfRule type="expression" priority="2" aboveAverage="0" equalAverage="0" bottom="0" percent="0" rank="0" text="" dxfId="1">
      <formula>AND(ROUND(J6,1)&lt;&gt;100,J6&lt;&gt;"")</formula>
    </cfRule>
  </conditionalFormatting>
  <conditionalFormatting sqref="Q6:Q53">
    <cfRule type="expression" priority="3" aboveAverage="0" equalAverage="0" bottom="0" percent="0" rank="0" text="" dxfId="1">
      <formula>AND(ROUND(Q6,1)&lt;&gt;100,Q6&lt;&gt;"")</formula>
    </cfRule>
  </conditionalFormatting>
  <conditionalFormatting sqref="D6:D53">
    <cfRule type="colorScale" priority="4">
      <colorScale>
        <cfvo type="min" val="0"/>
        <cfvo type="max" val="0"/>
        <color rgb="FFFFFFFF"/>
        <color rgb="FF70AD47"/>
      </colorScale>
    </cfRule>
  </conditionalFormatting>
  <conditionalFormatting sqref="E6:E53">
    <cfRule type="colorScale" priority="5">
      <colorScale>
        <cfvo type="min" val="0"/>
        <cfvo type="max" val="0"/>
        <color rgb="FFFFFFFF"/>
        <color rgb="FF70AD47"/>
      </colorScale>
    </cfRule>
  </conditionalFormatting>
  <conditionalFormatting sqref="F6:F53">
    <cfRule type="colorScale" priority="6">
      <colorScale>
        <cfvo type="min" val="0"/>
        <cfvo type="max" val="0"/>
        <color rgb="FFFFFFFF"/>
        <color rgb="FF70AD47"/>
      </colorScale>
    </cfRule>
  </conditionalFormatting>
  <conditionalFormatting sqref="G6:G53">
    <cfRule type="colorScale" priority="7">
      <colorScale>
        <cfvo type="min" val="0"/>
        <cfvo type="max" val="0"/>
        <color rgb="FFFFFFFF"/>
        <color rgb="FF70AD47"/>
      </colorScale>
    </cfRule>
  </conditionalFormatting>
  <conditionalFormatting sqref="H6:H53">
    <cfRule type="colorScale" priority="8">
      <colorScale>
        <cfvo type="min" val="0"/>
        <cfvo type="max" val="0"/>
        <color rgb="FFFFFFFF"/>
        <color rgb="FF70AD47"/>
      </colorScale>
    </cfRule>
  </conditionalFormatting>
  <conditionalFormatting sqref="I6:I53">
    <cfRule type="colorScale" priority="9">
      <colorScale>
        <cfvo type="min" val="0"/>
        <cfvo type="max" val="0"/>
        <color rgb="FFFFFFFF"/>
        <color rgb="FF70AD47"/>
      </colorScale>
    </cfRule>
  </conditionalFormatting>
  <conditionalFormatting sqref="K6:K53">
    <cfRule type="colorScale" priority="10">
      <colorScale>
        <cfvo type="min" val="0"/>
        <cfvo type="max" val="0"/>
        <color rgb="FFFFFFFF"/>
        <color rgb="FFC00000"/>
      </colorScale>
    </cfRule>
  </conditionalFormatting>
  <conditionalFormatting sqref="L6:L53">
    <cfRule type="colorScale" priority="11">
      <colorScale>
        <cfvo type="min" val="0"/>
        <cfvo type="max" val="0"/>
        <color rgb="FFFFFFFF"/>
        <color rgb="FFC00000"/>
      </colorScale>
    </cfRule>
  </conditionalFormatting>
  <conditionalFormatting sqref="M6:M53">
    <cfRule type="colorScale" priority="12">
      <colorScale>
        <cfvo type="min" val="0"/>
        <cfvo type="max" val="0"/>
        <color rgb="FFFFFFFF"/>
        <color rgb="FFC00000"/>
      </colorScale>
    </cfRule>
  </conditionalFormatting>
  <conditionalFormatting sqref="N6:N53">
    <cfRule type="colorScale" priority="13">
      <colorScale>
        <cfvo type="min" val="0"/>
        <cfvo type="max" val="0"/>
        <color rgb="FFFFFFFF"/>
        <color rgb="FFC00000"/>
      </colorScale>
    </cfRule>
  </conditionalFormatting>
  <conditionalFormatting sqref="O6:O53">
    <cfRule type="colorScale" priority="14">
      <colorScale>
        <cfvo type="min" val="0"/>
        <cfvo type="max" val="0"/>
        <color rgb="FFFFFFFF"/>
        <color rgb="FFC00000"/>
      </colorScale>
    </cfRule>
  </conditionalFormatting>
  <conditionalFormatting sqref="P6:P53">
    <cfRule type="colorScale" priority="15">
      <colorScale>
        <cfvo type="min" val="0"/>
        <cfvo type="max" val="0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6"/>
    <col collapsed="false" customWidth="true" hidden="false" outlineLevel="0" max="3" min="3" style="1" width="7"/>
    <col collapsed="false" customWidth="true" hidden="false" outlineLevel="0" max="17" min="4" style="1" width="8"/>
    <col collapsed="false" customWidth="true" hidden="false" outlineLevel="0" max="19" min="18" style="1" width="13"/>
  </cols>
  <sheetData>
    <row r="1" customFormat="false" ht="30" hidden="false" customHeight="true" outlineLevel="0" collapsed="false">
      <c r="A1" s="19" t="s">
        <v>453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</row>
    <row r="2" customFormat="false" ht="15" hidden="false" customHeight="true" outlineLevel="0" collapsed="false">
      <c r="A2" s="20" t="s">
        <v>454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customFormat="false" ht="18" hidden="false" customHeight="true" outlineLevel="0" collapsed="false">
      <c r="A3" s="21" t="s">
        <v>44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customFormat="false" ht="15" hidden="false" customHeight="true" outlineLevel="0" collapsed="false">
      <c r="A4" s="50" t="s">
        <v>442</v>
      </c>
      <c r="B4" s="50"/>
      <c r="C4" s="50"/>
      <c r="D4" s="51" t="s">
        <v>455</v>
      </c>
      <c r="E4" s="51"/>
      <c r="F4" s="51"/>
      <c r="G4" s="51"/>
      <c r="H4" s="51"/>
      <c r="I4" s="51"/>
      <c r="J4" s="52" t="s">
        <v>444</v>
      </c>
      <c r="K4" s="53" t="s">
        <v>456</v>
      </c>
      <c r="L4" s="53"/>
      <c r="M4" s="53"/>
      <c r="N4" s="53"/>
      <c r="O4" s="53"/>
      <c r="P4" s="53"/>
      <c r="Q4" s="54" t="s">
        <v>444</v>
      </c>
      <c r="R4" s="50" t="s">
        <v>457</v>
      </c>
      <c r="S4" s="50"/>
    </row>
    <row r="5" customFormat="false" ht="27.75" hidden="false" customHeight="true" outlineLevel="0" collapsed="false">
      <c r="A5" s="55" t="s">
        <v>45</v>
      </c>
      <c r="B5" s="55" t="s">
        <v>46</v>
      </c>
      <c r="C5" s="55" t="s">
        <v>48</v>
      </c>
      <c r="D5" s="56" t="s">
        <v>458</v>
      </c>
      <c r="E5" s="56" t="s">
        <v>459</v>
      </c>
      <c r="F5" s="56" t="s">
        <v>460</v>
      </c>
      <c r="G5" s="56" t="s">
        <v>461</v>
      </c>
      <c r="H5" s="56" t="s">
        <v>462</v>
      </c>
      <c r="I5" s="56" t="s">
        <v>463</v>
      </c>
      <c r="J5" s="56" t="s">
        <v>444</v>
      </c>
      <c r="K5" s="57" t="s">
        <v>458</v>
      </c>
      <c r="L5" s="57" t="s">
        <v>459</v>
      </c>
      <c r="M5" s="57" t="s">
        <v>460</v>
      </c>
      <c r="N5" s="57" t="s">
        <v>461</v>
      </c>
      <c r="O5" s="57" t="s">
        <v>462</v>
      </c>
      <c r="P5" s="57" t="s">
        <v>463</v>
      </c>
      <c r="Q5" s="57" t="s">
        <v>444</v>
      </c>
      <c r="R5" s="55" t="s">
        <v>464</v>
      </c>
      <c r="S5" s="55" t="s">
        <v>465</v>
      </c>
    </row>
    <row r="6" customFormat="false" ht="15" hidden="false" customHeight="true" outlineLevel="0" collapsed="false">
      <c r="A6" s="23" t="n">
        <v>1</v>
      </c>
      <c r="B6" s="24" t="s">
        <v>53</v>
      </c>
      <c r="C6" s="23" t="s">
        <v>55</v>
      </c>
      <c r="D6" s="58" t="n">
        <v>11</v>
      </c>
      <c r="E6" s="58" t="n">
        <v>14</v>
      </c>
      <c r="F6" s="58" t="n">
        <v>17</v>
      </c>
      <c r="G6" s="58" t="n">
        <v>16</v>
      </c>
      <c r="H6" s="58" t="n">
        <v>19</v>
      </c>
      <c r="I6" s="58" t="n">
        <v>23</v>
      </c>
      <c r="J6" s="59" t="n">
        <f aca="false">SUM(D6:I6)</f>
        <v>100</v>
      </c>
      <c r="K6" s="58" t="n">
        <v>10</v>
      </c>
      <c r="L6" s="58" t="n">
        <v>13</v>
      </c>
      <c r="M6" s="58" t="n">
        <v>15</v>
      </c>
      <c r="N6" s="58" t="n">
        <v>17</v>
      </c>
      <c r="O6" s="58" t="n">
        <v>19</v>
      </c>
      <c r="P6" s="58" t="n">
        <v>26</v>
      </c>
      <c r="Q6" s="59" t="n">
        <f aca="false">SUM(K6:P6)</f>
        <v>100</v>
      </c>
      <c r="R6" s="60" t="str">
        <f aca="false">INDEX($D$5:$I$5,MATCH(MAX(D6:I6),D6:I6,0))</f>
        <v>76-90</v>
      </c>
      <c r="S6" s="60" t="str">
        <f aca="false">INDEX($K$5:$P$5,MATCH(MAX(K6:P6),K6:P6,0))</f>
        <v>76-90</v>
      </c>
    </row>
    <row r="7" customFormat="false" ht="15" hidden="false" customHeight="true" outlineLevel="0" collapsed="false">
      <c r="A7" s="26" t="n">
        <v>2</v>
      </c>
      <c r="B7" s="27" t="s">
        <v>57</v>
      </c>
      <c r="C7" s="26" t="s">
        <v>55</v>
      </c>
      <c r="D7" s="58" t="n">
        <v>12</v>
      </c>
      <c r="E7" s="58" t="n">
        <v>15</v>
      </c>
      <c r="F7" s="58" t="n">
        <v>18</v>
      </c>
      <c r="G7" s="58" t="n">
        <v>16</v>
      </c>
      <c r="H7" s="58" t="n">
        <v>18</v>
      </c>
      <c r="I7" s="58" t="n">
        <v>21</v>
      </c>
      <c r="J7" s="59" t="n">
        <f aca="false">SUM(D7:I7)</f>
        <v>100</v>
      </c>
      <c r="K7" s="58" t="n">
        <v>14</v>
      </c>
      <c r="L7" s="58" t="n">
        <v>16</v>
      </c>
      <c r="M7" s="58" t="n">
        <v>16</v>
      </c>
      <c r="N7" s="58" t="n">
        <v>17</v>
      </c>
      <c r="O7" s="58" t="n">
        <v>18</v>
      </c>
      <c r="P7" s="58" t="n">
        <v>19</v>
      </c>
      <c r="Q7" s="59" t="n">
        <f aca="false">SUM(K7:P7)</f>
        <v>100</v>
      </c>
      <c r="R7" s="60" t="str">
        <f aca="false">INDEX($D$5:$I$5,MATCH(MAX(D7:I7),D7:I7,0))</f>
        <v>76-90</v>
      </c>
      <c r="S7" s="60" t="str">
        <f aca="false">INDEX($K$5:$P$5,MATCH(MAX(K7:P7),K7:P7,0))</f>
        <v>76-90</v>
      </c>
    </row>
    <row r="8" customFormat="false" ht="15" hidden="false" customHeight="true" outlineLevel="0" collapsed="false">
      <c r="A8" s="29" t="n">
        <v>3</v>
      </c>
      <c r="B8" s="30" t="s">
        <v>60</v>
      </c>
      <c r="C8" s="29" t="s">
        <v>55</v>
      </c>
      <c r="D8" s="58" t="n">
        <v>12</v>
      </c>
      <c r="E8" s="58" t="n">
        <v>15</v>
      </c>
      <c r="F8" s="58" t="n">
        <v>18</v>
      </c>
      <c r="G8" s="58" t="n">
        <v>16</v>
      </c>
      <c r="H8" s="58" t="n">
        <v>18</v>
      </c>
      <c r="I8" s="58" t="n">
        <v>21</v>
      </c>
      <c r="J8" s="59" t="n">
        <f aca="false">SUM(D8:I8)</f>
        <v>100</v>
      </c>
      <c r="K8" s="58" t="n">
        <v>18</v>
      </c>
      <c r="L8" s="58" t="n">
        <v>17</v>
      </c>
      <c r="M8" s="58" t="n">
        <v>17</v>
      </c>
      <c r="N8" s="58" t="n">
        <v>16</v>
      </c>
      <c r="O8" s="58" t="n">
        <v>16</v>
      </c>
      <c r="P8" s="58" t="n">
        <v>16</v>
      </c>
      <c r="Q8" s="59" t="n">
        <f aca="false">SUM(K8:P8)</f>
        <v>100</v>
      </c>
      <c r="R8" s="60" t="str">
        <f aca="false">INDEX($D$5:$I$5,MATCH(MAX(D8:I8),D8:I8,0))</f>
        <v>76-90</v>
      </c>
      <c r="S8" s="60" t="str">
        <f aca="false">INDEX($K$5:$P$5,MATCH(MAX(K8:P8),K8:P8,0))</f>
        <v>0-15</v>
      </c>
    </row>
    <row r="9" customFormat="false" ht="15" hidden="false" customHeight="true" outlineLevel="0" collapsed="false">
      <c r="A9" s="32" t="n">
        <v>4</v>
      </c>
      <c r="B9" s="33" t="s">
        <v>63</v>
      </c>
      <c r="C9" s="32" t="s">
        <v>55</v>
      </c>
      <c r="D9" s="58" t="n">
        <v>12</v>
      </c>
      <c r="E9" s="58" t="n">
        <v>15</v>
      </c>
      <c r="F9" s="58" t="n">
        <v>18</v>
      </c>
      <c r="G9" s="58" t="n">
        <v>16</v>
      </c>
      <c r="H9" s="58" t="n">
        <v>18</v>
      </c>
      <c r="I9" s="58" t="n">
        <v>21</v>
      </c>
      <c r="J9" s="59" t="n">
        <f aca="false">SUM(D9:I9)</f>
        <v>100</v>
      </c>
      <c r="K9" s="58" t="n">
        <v>14</v>
      </c>
      <c r="L9" s="58" t="n">
        <v>16</v>
      </c>
      <c r="M9" s="58" t="n">
        <v>16</v>
      </c>
      <c r="N9" s="58" t="n">
        <v>17</v>
      </c>
      <c r="O9" s="58" t="n">
        <v>18</v>
      </c>
      <c r="P9" s="58" t="n">
        <v>19</v>
      </c>
      <c r="Q9" s="59" t="n">
        <f aca="false">SUM(K9:P9)</f>
        <v>100</v>
      </c>
      <c r="R9" s="60" t="str">
        <f aca="false">INDEX($D$5:$I$5,MATCH(MAX(D9:I9),D9:I9,0))</f>
        <v>76-90</v>
      </c>
      <c r="S9" s="60" t="str">
        <f aca="false">INDEX($K$5:$P$5,MATCH(MAX(K9:P9),K9:P9,0))</f>
        <v>76-90</v>
      </c>
    </row>
    <row r="10" customFormat="false" ht="15" hidden="false" customHeight="true" outlineLevel="0" collapsed="false">
      <c r="A10" s="23" t="n">
        <v>5</v>
      </c>
      <c r="B10" s="24" t="s">
        <v>66</v>
      </c>
      <c r="C10" s="23" t="s">
        <v>67</v>
      </c>
      <c r="D10" s="58" t="n">
        <v>12</v>
      </c>
      <c r="E10" s="58" t="n">
        <v>15</v>
      </c>
      <c r="F10" s="58" t="n">
        <v>18</v>
      </c>
      <c r="G10" s="58" t="n">
        <v>16</v>
      </c>
      <c r="H10" s="58" t="n">
        <v>18</v>
      </c>
      <c r="I10" s="58" t="n">
        <v>21</v>
      </c>
      <c r="J10" s="59" t="n">
        <f aca="false">SUM(D10:I10)</f>
        <v>100</v>
      </c>
      <c r="K10" s="58" t="n">
        <v>14</v>
      </c>
      <c r="L10" s="58" t="n">
        <v>16</v>
      </c>
      <c r="M10" s="58" t="n">
        <v>16</v>
      </c>
      <c r="N10" s="58" t="n">
        <v>17</v>
      </c>
      <c r="O10" s="58" t="n">
        <v>18</v>
      </c>
      <c r="P10" s="58" t="n">
        <v>19</v>
      </c>
      <c r="Q10" s="59" t="n">
        <f aca="false">SUM(K10:P10)</f>
        <v>100</v>
      </c>
      <c r="R10" s="60" t="str">
        <f aca="false">INDEX($D$5:$I$5,MATCH(MAX(D10:I10),D10:I10,0))</f>
        <v>76-90</v>
      </c>
      <c r="S10" s="60" t="str">
        <f aca="false">INDEX($K$5:$P$5,MATCH(MAX(K10:P10),K10:P10,0))</f>
        <v>76-90</v>
      </c>
    </row>
    <row r="11" customFormat="false" ht="15" hidden="false" customHeight="true" outlineLevel="0" collapsed="false">
      <c r="A11" s="32" t="n">
        <v>6</v>
      </c>
      <c r="B11" s="33" t="s">
        <v>69</v>
      </c>
      <c r="C11" s="32" t="s">
        <v>67</v>
      </c>
      <c r="D11" s="58" t="n">
        <v>12</v>
      </c>
      <c r="E11" s="58" t="n">
        <v>15</v>
      </c>
      <c r="F11" s="58" t="n">
        <v>18</v>
      </c>
      <c r="G11" s="58" t="n">
        <v>16</v>
      </c>
      <c r="H11" s="58" t="n">
        <v>18</v>
      </c>
      <c r="I11" s="58" t="n">
        <v>21</v>
      </c>
      <c r="J11" s="59" t="n">
        <f aca="false">SUM(D11:I11)</f>
        <v>100</v>
      </c>
      <c r="K11" s="58" t="n">
        <v>14</v>
      </c>
      <c r="L11" s="58" t="n">
        <v>16</v>
      </c>
      <c r="M11" s="58" t="n">
        <v>16</v>
      </c>
      <c r="N11" s="58" t="n">
        <v>17</v>
      </c>
      <c r="O11" s="58" t="n">
        <v>18</v>
      </c>
      <c r="P11" s="58" t="n">
        <v>19</v>
      </c>
      <c r="Q11" s="59" t="n">
        <f aca="false">SUM(K11:P11)</f>
        <v>100</v>
      </c>
      <c r="R11" s="60" t="str">
        <f aca="false">INDEX($D$5:$I$5,MATCH(MAX(D11:I11),D11:I11,0))</f>
        <v>76-90</v>
      </c>
      <c r="S11" s="60" t="str">
        <f aca="false">INDEX($K$5:$P$5,MATCH(MAX(K11:P11),K11:P11,0))</f>
        <v>76-90</v>
      </c>
    </row>
    <row r="12" customFormat="false" ht="15" hidden="false" customHeight="true" outlineLevel="0" collapsed="false">
      <c r="A12" s="26" t="n">
        <v>7</v>
      </c>
      <c r="B12" s="27" t="s">
        <v>71</v>
      </c>
      <c r="C12" s="26" t="s">
        <v>67</v>
      </c>
      <c r="D12" s="58" t="n">
        <v>12</v>
      </c>
      <c r="E12" s="58" t="n">
        <v>15</v>
      </c>
      <c r="F12" s="58" t="n">
        <v>18</v>
      </c>
      <c r="G12" s="58" t="n">
        <v>16</v>
      </c>
      <c r="H12" s="58" t="n">
        <v>18</v>
      </c>
      <c r="I12" s="58" t="n">
        <v>21</v>
      </c>
      <c r="J12" s="59" t="n">
        <f aca="false">SUM(D12:I12)</f>
        <v>100</v>
      </c>
      <c r="K12" s="58" t="n">
        <v>18</v>
      </c>
      <c r="L12" s="58" t="n">
        <v>17</v>
      </c>
      <c r="M12" s="58" t="n">
        <v>17</v>
      </c>
      <c r="N12" s="58" t="n">
        <v>16</v>
      </c>
      <c r="O12" s="58" t="n">
        <v>16</v>
      </c>
      <c r="P12" s="58" t="n">
        <v>16</v>
      </c>
      <c r="Q12" s="59" t="n">
        <f aca="false">SUM(K12:P12)</f>
        <v>100</v>
      </c>
      <c r="R12" s="60" t="str">
        <f aca="false">INDEX($D$5:$I$5,MATCH(MAX(D12:I12),D12:I12,0))</f>
        <v>76-90</v>
      </c>
      <c r="S12" s="60" t="str">
        <f aca="false">INDEX($K$5:$P$5,MATCH(MAX(K12:P12),K12:P12,0))</f>
        <v>0-15</v>
      </c>
    </row>
    <row r="13" customFormat="false" ht="15" hidden="false" customHeight="true" outlineLevel="0" collapsed="false">
      <c r="A13" s="32" t="n">
        <v>8</v>
      </c>
      <c r="B13" s="33" t="s">
        <v>73</v>
      </c>
      <c r="C13" s="32" t="s">
        <v>67</v>
      </c>
      <c r="D13" s="58" t="n">
        <v>12</v>
      </c>
      <c r="E13" s="58" t="n">
        <v>15</v>
      </c>
      <c r="F13" s="58" t="n">
        <v>18</v>
      </c>
      <c r="G13" s="58" t="n">
        <v>16</v>
      </c>
      <c r="H13" s="58" t="n">
        <v>18</v>
      </c>
      <c r="I13" s="58" t="n">
        <v>21</v>
      </c>
      <c r="J13" s="59" t="n">
        <f aca="false">SUM(D13:I13)</f>
        <v>100</v>
      </c>
      <c r="K13" s="58" t="n">
        <v>18</v>
      </c>
      <c r="L13" s="58" t="n">
        <v>17</v>
      </c>
      <c r="M13" s="58" t="n">
        <v>17</v>
      </c>
      <c r="N13" s="58" t="n">
        <v>16</v>
      </c>
      <c r="O13" s="58" t="n">
        <v>16</v>
      </c>
      <c r="P13" s="58" t="n">
        <v>16</v>
      </c>
      <c r="Q13" s="59" t="n">
        <f aca="false">SUM(K13:P13)</f>
        <v>100</v>
      </c>
      <c r="R13" s="60" t="str">
        <f aca="false">INDEX($D$5:$I$5,MATCH(MAX(D13:I13),D13:I13,0))</f>
        <v>76-90</v>
      </c>
      <c r="S13" s="60" t="str">
        <f aca="false">INDEX($K$5:$P$5,MATCH(MAX(K13:P13),K13:P13,0))</f>
        <v>0-15</v>
      </c>
    </row>
    <row r="14" customFormat="false" ht="15" hidden="false" customHeight="true" outlineLevel="0" collapsed="false">
      <c r="A14" s="35" t="n">
        <v>9</v>
      </c>
      <c r="B14" s="36" t="s">
        <v>75</v>
      </c>
      <c r="C14" s="35" t="s">
        <v>77</v>
      </c>
      <c r="D14" s="58" t="n">
        <v>11</v>
      </c>
      <c r="E14" s="58" t="n">
        <v>14</v>
      </c>
      <c r="F14" s="58" t="n">
        <v>17</v>
      </c>
      <c r="G14" s="58" t="n">
        <v>16</v>
      </c>
      <c r="H14" s="58" t="n">
        <v>19</v>
      </c>
      <c r="I14" s="58" t="n">
        <v>23</v>
      </c>
      <c r="J14" s="59" t="n">
        <f aca="false">SUM(D14:I14)</f>
        <v>100</v>
      </c>
      <c r="K14" s="58" t="n">
        <v>10</v>
      </c>
      <c r="L14" s="58" t="n">
        <v>13</v>
      </c>
      <c r="M14" s="58" t="n">
        <v>15</v>
      </c>
      <c r="N14" s="58" t="n">
        <v>17</v>
      </c>
      <c r="O14" s="58" t="n">
        <v>19</v>
      </c>
      <c r="P14" s="58" t="n">
        <v>26</v>
      </c>
      <c r="Q14" s="59" t="n">
        <f aca="false">SUM(K14:P14)</f>
        <v>100</v>
      </c>
      <c r="R14" s="60" t="str">
        <f aca="false">INDEX($D$5:$I$5,MATCH(MAX(D14:I14),D14:I14,0))</f>
        <v>76-90</v>
      </c>
      <c r="S14" s="60" t="str">
        <f aca="false">INDEX($K$5:$P$5,MATCH(MAX(K14:P14),K14:P14,0))</f>
        <v>76-90</v>
      </c>
    </row>
    <row r="15" customFormat="false" ht="15" hidden="false" customHeight="true" outlineLevel="0" collapsed="false">
      <c r="A15" s="29" t="n">
        <v>10</v>
      </c>
      <c r="B15" s="30" t="s">
        <v>79</v>
      </c>
      <c r="C15" s="29" t="s">
        <v>77</v>
      </c>
      <c r="D15" s="58" t="n">
        <v>11</v>
      </c>
      <c r="E15" s="58" t="n">
        <v>14</v>
      </c>
      <c r="F15" s="58" t="n">
        <v>17</v>
      </c>
      <c r="G15" s="58" t="n">
        <v>16</v>
      </c>
      <c r="H15" s="58" t="n">
        <v>19</v>
      </c>
      <c r="I15" s="58" t="n">
        <v>23</v>
      </c>
      <c r="J15" s="59" t="n">
        <f aca="false">SUM(D15:I15)</f>
        <v>100</v>
      </c>
      <c r="K15" s="58" t="n">
        <v>10</v>
      </c>
      <c r="L15" s="58" t="n">
        <v>13</v>
      </c>
      <c r="M15" s="58" t="n">
        <v>15</v>
      </c>
      <c r="N15" s="58" t="n">
        <v>17</v>
      </c>
      <c r="O15" s="58" t="n">
        <v>19</v>
      </c>
      <c r="P15" s="58" t="n">
        <v>26</v>
      </c>
      <c r="Q15" s="59" t="n">
        <f aca="false">SUM(K15:P15)</f>
        <v>100</v>
      </c>
      <c r="R15" s="60" t="str">
        <f aca="false">INDEX($D$5:$I$5,MATCH(MAX(D15:I15),D15:I15,0))</f>
        <v>76-90</v>
      </c>
      <c r="S15" s="60" t="str">
        <f aca="false">INDEX($K$5:$P$5,MATCH(MAX(K15:P15),K15:P15,0))</f>
        <v>76-90</v>
      </c>
    </row>
    <row r="16" customFormat="false" ht="15" hidden="false" customHeight="true" outlineLevel="0" collapsed="false">
      <c r="A16" s="32" t="n">
        <v>11</v>
      </c>
      <c r="B16" s="33" t="s">
        <v>81</v>
      </c>
      <c r="C16" s="32" t="s">
        <v>77</v>
      </c>
      <c r="D16" s="58" t="n">
        <v>12</v>
      </c>
      <c r="E16" s="58" t="n">
        <v>15</v>
      </c>
      <c r="F16" s="58" t="n">
        <v>18</v>
      </c>
      <c r="G16" s="58" t="n">
        <v>16</v>
      </c>
      <c r="H16" s="58" t="n">
        <v>18</v>
      </c>
      <c r="I16" s="58" t="n">
        <v>21</v>
      </c>
      <c r="J16" s="59" t="n">
        <f aca="false">SUM(D16:I16)</f>
        <v>100</v>
      </c>
      <c r="K16" s="58" t="n">
        <v>14</v>
      </c>
      <c r="L16" s="58" t="n">
        <v>16</v>
      </c>
      <c r="M16" s="58" t="n">
        <v>16</v>
      </c>
      <c r="N16" s="58" t="n">
        <v>17</v>
      </c>
      <c r="O16" s="58" t="n">
        <v>18</v>
      </c>
      <c r="P16" s="58" t="n">
        <v>19</v>
      </c>
      <c r="Q16" s="59" t="n">
        <f aca="false">SUM(K16:P16)</f>
        <v>100</v>
      </c>
      <c r="R16" s="60" t="str">
        <f aca="false">INDEX($D$5:$I$5,MATCH(MAX(D16:I16),D16:I16,0))</f>
        <v>76-90</v>
      </c>
      <c r="S16" s="60" t="str">
        <f aca="false">INDEX($K$5:$P$5,MATCH(MAX(K16:P16),K16:P16,0))</f>
        <v>76-90</v>
      </c>
    </row>
    <row r="17" customFormat="false" ht="15" hidden="false" customHeight="true" outlineLevel="0" collapsed="false">
      <c r="A17" s="23" t="n">
        <v>12</v>
      </c>
      <c r="B17" s="24" t="s">
        <v>82</v>
      </c>
      <c r="C17" s="23" t="s">
        <v>77</v>
      </c>
      <c r="D17" s="58" t="n">
        <v>14</v>
      </c>
      <c r="E17" s="58" t="n">
        <v>16</v>
      </c>
      <c r="F17" s="58" t="n">
        <v>18</v>
      </c>
      <c r="G17" s="58" t="n">
        <v>17</v>
      </c>
      <c r="H17" s="58" t="n">
        <v>17</v>
      </c>
      <c r="I17" s="58" t="n">
        <v>18</v>
      </c>
      <c r="J17" s="59" t="n">
        <f aca="false">SUM(D17:I17)</f>
        <v>100</v>
      </c>
      <c r="K17" s="58" t="n">
        <v>18</v>
      </c>
      <c r="L17" s="58" t="n">
        <v>17</v>
      </c>
      <c r="M17" s="58" t="n">
        <v>17</v>
      </c>
      <c r="N17" s="58" t="n">
        <v>16</v>
      </c>
      <c r="O17" s="58" t="n">
        <v>16</v>
      </c>
      <c r="P17" s="58" t="n">
        <v>16</v>
      </c>
      <c r="Q17" s="59" t="n">
        <f aca="false">SUM(K17:P17)</f>
        <v>100</v>
      </c>
      <c r="R17" s="60" t="str">
        <f aca="false">INDEX($D$5:$I$5,MATCH(MAX(D17:I17),D17:I17,0))</f>
        <v>31-45</v>
      </c>
      <c r="S17" s="60" t="str">
        <f aca="false">INDEX($K$5:$P$5,MATCH(MAX(K17:P17),K17:P17,0))</f>
        <v>0-15</v>
      </c>
    </row>
    <row r="18" customFormat="false" ht="15" hidden="false" customHeight="true" outlineLevel="0" collapsed="false">
      <c r="A18" s="23" t="n">
        <v>13</v>
      </c>
      <c r="B18" s="24" t="s">
        <v>84</v>
      </c>
      <c r="C18" s="23" t="s">
        <v>85</v>
      </c>
      <c r="D18" s="58" t="n">
        <v>12</v>
      </c>
      <c r="E18" s="58" t="n">
        <v>15</v>
      </c>
      <c r="F18" s="58" t="n">
        <v>18</v>
      </c>
      <c r="G18" s="58" t="n">
        <v>16</v>
      </c>
      <c r="H18" s="58" t="n">
        <v>18</v>
      </c>
      <c r="I18" s="58" t="n">
        <v>21</v>
      </c>
      <c r="J18" s="59" t="n">
        <f aca="false">SUM(D18:I18)</f>
        <v>100</v>
      </c>
      <c r="K18" s="58" t="n">
        <v>14</v>
      </c>
      <c r="L18" s="58" t="n">
        <v>16</v>
      </c>
      <c r="M18" s="58" t="n">
        <v>16</v>
      </c>
      <c r="N18" s="58" t="n">
        <v>17</v>
      </c>
      <c r="O18" s="58" t="n">
        <v>18</v>
      </c>
      <c r="P18" s="58" t="n">
        <v>19</v>
      </c>
      <c r="Q18" s="59" t="n">
        <f aca="false">SUM(K18:P18)</f>
        <v>100</v>
      </c>
      <c r="R18" s="60" t="str">
        <f aca="false">INDEX($D$5:$I$5,MATCH(MAX(D18:I18),D18:I18,0))</f>
        <v>76-90</v>
      </c>
      <c r="S18" s="60" t="str">
        <f aca="false">INDEX($K$5:$P$5,MATCH(MAX(K18:P18),K18:P18,0))</f>
        <v>76-90</v>
      </c>
    </row>
    <row r="19" customFormat="false" ht="15" hidden="false" customHeight="true" outlineLevel="0" collapsed="false">
      <c r="A19" s="35" t="n">
        <v>14</v>
      </c>
      <c r="B19" s="36" t="s">
        <v>87</v>
      </c>
      <c r="C19" s="35" t="s">
        <v>85</v>
      </c>
      <c r="D19" s="58" t="n">
        <v>12</v>
      </c>
      <c r="E19" s="58" t="n">
        <v>15</v>
      </c>
      <c r="F19" s="58" t="n">
        <v>18</v>
      </c>
      <c r="G19" s="58" t="n">
        <v>16</v>
      </c>
      <c r="H19" s="58" t="n">
        <v>18</v>
      </c>
      <c r="I19" s="58" t="n">
        <v>21</v>
      </c>
      <c r="J19" s="59" t="n">
        <f aca="false">SUM(D19:I19)</f>
        <v>100</v>
      </c>
      <c r="K19" s="58" t="n">
        <v>14</v>
      </c>
      <c r="L19" s="58" t="n">
        <v>16</v>
      </c>
      <c r="M19" s="58" t="n">
        <v>16</v>
      </c>
      <c r="N19" s="58" t="n">
        <v>17</v>
      </c>
      <c r="O19" s="58" t="n">
        <v>18</v>
      </c>
      <c r="P19" s="58" t="n">
        <v>19</v>
      </c>
      <c r="Q19" s="59" t="n">
        <f aca="false">SUM(K19:P19)</f>
        <v>100</v>
      </c>
      <c r="R19" s="60" t="str">
        <f aca="false">INDEX($D$5:$I$5,MATCH(MAX(D19:I19),D19:I19,0))</f>
        <v>76-90</v>
      </c>
      <c r="S19" s="60" t="str">
        <f aca="false">INDEX($K$5:$P$5,MATCH(MAX(K19:P19),K19:P19,0))</f>
        <v>76-90</v>
      </c>
    </row>
    <row r="20" customFormat="false" ht="15" hidden="false" customHeight="true" outlineLevel="0" collapsed="false">
      <c r="A20" s="26" t="n">
        <v>15</v>
      </c>
      <c r="B20" s="27" t="s">
        <v>89</v>
      </c>
      <c r="C20" s="26" t="s">
        <v>85</v>
      </c>
      <c r="D20" s="58" t="n">
        <v>12</v>
      </c>
      <c r="E20" s="58" t="n">
        <v>15</v>
      </c>
      <c r="F20" s="58" t="n">
        <v>18</v>
      </c>
      <c r="G20" s="58" t="n">
        <v>16</v>
      </c>
      <c r="H20" s="58" t="n">
        <v>18</v>
      </c>
      <c r="I20" s="58" t="n">
        <v>21</v>
      </c>
      <c r="J20" s="59" t="n">
        <f aca="false">SUM(D20:I20)</f>
        <v>100</v>
      </c>
      <c r="K20" s="58" t="n">
        <v>14</v>
      </c>
      <c r="L20" s="58" t="n">
        <v>16</v>
      </c>
      <c r="M20" s="58" t="n">
        <v>16</v>
      </c>
      <c r="N20" s="58" t="n">
        <v>17</v>
      </c>
      <c r="O20" s="58" t="n">
        <v>18</v>
      </c>
      <c r="P20" s="58" t="n">
        <v>19</v>
      </c>
      <c r="Q20" s="59" t="n">
        <f aca="false">SUM(K20:P20)</f>
        <v>100</v>
      </c>
      <c r="R20" s="60" t="str">
        <f aca="false">INDEX($D$5:$I$5,MATCH(MAX(D20:I20),D20:I20,0))</f>
        <v>76-90</v>
      </c>
      <c r="S20" s="60" t="str">
        <f aca="false">INDEX($K$5:$P$5,MATCH(MAX(K20:P20),K20:P20,0))</f>
        <v>76-90</v>
      </c>
    </row>
    <row r="21" customFormat="false" ht="15" hidden="false" customHeight="true" outlineLevel="0" collapsed="false">
      <c r="A21" s="32" t="n">
        <v>16</v>
      </c>
      <c r="B21" s="33" t="s">
        <v>91</v>
      </c>
      <c r="C21" s="32" t="s">
        <v>85</v>
      </c>
      <c r="D21" s="58" t="n">
        <v>12</v>
      </c>
      <c r="E21" s="58" t="n">
        <v>15</v>
      </c>
      <c r="F21" s="58" t="n">
        <v>18</v>
      </c>
      <c r="G21" s="58" t="n">
        <v>16</v>
      </c>
      <c r="H21" s="58" t="n">
        <v>18</v>
      </c>
      <c r="I21" s="58" t="n">
        <v>21</v>
      </c>
      <c r="J21" s="59" t="n">
        <f aca="false">SUM(D21:I21)</f>
        <v>100</v>
      </c>
      <c r="K21" s="58" t="n">
        <v>14</v>
      </c>
      <c r="L21" s="58" t="n">
        <v>16</v>
      </c>
      <c r="M21" s="58" t="n">
        <v>16</v>
      </c>
      <c r="N21" s="58" t="n">
        <v>17</v>
      </c>
      <c r="O21" s="58" t="n">
        <v>18</v>
      </c>
      <c r="P21" s="58" t="n">
        <v>19</v>
      </c>
      <c r="Q21" s="59" t="n">
        <f aca="false">SUM(K21:P21)</f>
        <v>100</v>
      </c>
      <c r="R21" s="60" t="str">
        <f aca="false">INDEX($D$5:$I$5,MATCH(MAX(D21:I21),D21:I21,0))</f>
        <v>76-90</v>
      </c>
      <c r="S21" s="60" t="str">
        <f aca="false">INDEX($K$5:$P$5,MATCH(MAX(K21:P21),K21:P21,0))</f>
        <v>76-90</v>
      </c>
    </row>
    <row r="22" customFormat="false" ht="15" hidden="false" customHeight="true" outlineLevel="0" collapsed="false">
      <c r="A22" s="32" t="n">
        <v>17</v>
      </c>
      <c r="B22" s="33" t="s">
        <v>93</v>
      </c>
      <c r="C22" s="32" t="s">
        <v>94</v>
      </c>
      <c r="D22" s="58" t="n">
        <v>11</v>
      </c>
      <c r="E22" s="58" t="n">
        <v>14</v>
      </c>
      <c r="F22" s="58" t="n">
        <v>17</v>
      </c>
      <c r="G22" s="58" t="n">
        <v>16</v>
      </c>
      <c r="H22" s="58" t="n">
        <v>19</v>
      </c>
      <c r="I22" s="58" t="n">
        <v>23</v>
      </c>
      <c r="J22" s="59" t="n">
        <f aca="false">SUM(D22:I22)</f>
        <v>100</v>
      </c>
      <c r="K22" s="58" t="n">
        <v>10</v>
      </c>
      <c r="L22" s="58" t="n">
        <v>13</v>
      </c>
      <c r="M22" s="58" t="n">
        <v>15</v>
      </c>
      <c r="N22" s="58" t="n">
        <v>17</v>
      </c>
      <c r="O22" s="58" t="n">
        <v>19</v>
      </c>
      <c r="P22" s="58" t="n">
        <v>26</v>
      </c>
      <c r="Q22" s="59" t="n">
        <f aca="false">SUM(K22:P22)</f>
        <v>100</v>
      </c>
      <c r="R22" s="60" t="str">
        <f aca="false">INDEX($D$5:$I$5,MATCH(MAX(D22:I22),D22:I22,0))</f>
        <v>76-90</v>
      </c>
      <c r="S22" s="60" t="str">
        <f aca="false">INDEX($K$5:$P$5,MATCH(MAX(K22:P22),K22:P22,0))</f>
        <v>76-90</v>
      </c>
    </row>
    <row r="23" customFormat="false" ht="15" hidden="false" customHeight="true" outlineLevel="0" collapsed="false">
      <c r="A23" s="35" t="n">
        <v>18</v>
      </c>
      <c r="B23" s="36" t="s">
        <v>96</v>
      </c>
      <c r="C23" s="35" t="s">
        <v>94</v>
      </c>
      <c r="D23" s="58" t="n">
        <v>12</v>
      </c>
      <c r="E23" s="58" t="n">
        <v>15</v>
      </c>
      <c r="F23" s="58" t="n">
        <v>18</v>
      </c>
      <c r="G23" s="58" t="n">
        <v>16</v>
      </c>
      <c r="H23" s="58" t="n">
        <v>18</v>
      </c>
      <c r="I23" s="58" t="n">
        <v>21</v>
      </c>
      <c r="J23" s="59" t="n">
        <f aca="false">SUM(D23:I23)</f>
        <v>100</v>
      </c>
      <c r="K23" s="58" t="n">
        <v>14</v>
      </c>
      <c r="L23" s="58" t="n">
        <v>16</v>
      </c>
      <c r="M23" s="58" t="n">
        <v>16</v>
      </c>
      <c r="N23" s="58" t="n">
        <v>17</v>
      </c>
      <c r="O23" s="58" t="n">
        <v>18</v>
      </c>
      <c r="P23" s="58" t="n">
        <v>19</v>
      </c>
      <c r="Q23" s="59" t="n">
        <f aca="false">SUM(K23:P23)</f>
        <v>100</v>
      </c>
      <c r="R23" s="60" t="str">
        <f aca="false">INDEX($D$5:$I$5,MATCH(MAX(D23:I23),D23:I23,0))</f>
        <v>76-90</v>
      </c>
      <c r="S23" s="60" t="str">
        <f aca="false">INDEX($K$5:$P$5,MATCH(MAX(K23:P23),K23:P23,0))</f>
        <v>76-90</v>
      </c>
    </row>
    <row r="24" customFormat="false" ht="15" hidden="false" customHeight="true" outlineLevel="0" collapsed="false">
      <c r="A24" s="29" t="n">
        <v>19</v>
      </c>
      <c r="B24" s="30" t="s">
        <v>98</v>
      </c>
      <c r="C24" s="29" t="s">
        <v>94</v>
      </c>
      <c r="D24" s="58" t="n">
        <v>12</v>
      </c>
      <c r="E24" s="58" t="n">
        <v>15</v>
      </c>
      <c r="F24" s="58" t="n">
        <v>18</v>
      </c>
      <c r="G24" s="58" t="n">
        <v>16</v>
      </c>
      <c r="H24" s="58" t="n">
        <v>18</v>
      </c>
      <c r="I24" s="58" t="n">
        <v>21</v>
      </c>
      <c r="J24" s="59" t="n">
        <f aca="false">SUM(D24:I24)</f>
        <v>100</v>
      </c>
      <c r="K24" s="58" t="n">
        <v>14</v>
      </c>
      <c r="L24" s="58" t="n">
        <v>16</v>
      </c>
      <c r="M24" s="58" t="n">
        <v>16</v>
      </c>
      <c r="N24" s="58" t="n">
        <v>17</v>
      </c>
      <c r="O24" s="58" t="n">
        <v>18</v>
      </c>
      <c r="P24" s="58" t="n">
        <v>19</v>
      </c>
      <c r="Q24" s="59" t="n">
        <f aca="false">SUM(K24:P24)</f>
        <v>100</v>
      </c>
      <c r="R24" s="60" t="str">
        <f aca="false">INDEX($D$5:$I$5,MATCH(MAX(D24:I24),D24:I24,0))</f>
        <v>76-90</v>
      </c>
      <c r="S24" s="60" t="str">
        <f aca="false">INDEX($K$5:$P$5,MATCH(MAX(K24:P24),K24:P24,0))</f>
        <v>76-90</v>
      </c>
    </row>
    <row r="25" customFormat="false" ht="15" hidden="false" customHeight="true" outlineLevel="0" collapsed="false">
      <c r="A25" s="23" t="n">
        <v>20</v>
      </c>
      <c r="B25" s="24" t="s">
        <v>99</v>
      </c>
      <c r="C25" s="23" t="s">
        <v>94</v>
      </c>
      <c r="D25" s="58" t="n">
        <v>14</v>
      </c>
      <c r="E25" s="58" t="n">
        <v>16</v>
      </c>
      <c r="F25" s="58" t="n">
        <v>18</v>
      </c>
      <c r="G25" s="58" t="n">
        <v>17</v>
      </c>
      <c r="H25" s="58" t="n">
        <v>17</v>
      </c>
      <c r="I25" s="58" t="n">
        <v>18</v>
      </c>
      <c r="J25" s="59" t="n">
        <f aca="false">SUM(D25:I25)</f>
        <v>100</v>
      </c>
      <c r="K25" s="58" t="n">
        <v>18</v>
      </c>
      <c r="L25" s="58" t="n">
        <v>17</v>
      </c>
      <c r="M25" s="58" t="n">
        <v>17</v>
      </c>
      <c r="N25" s="58" t="n">
        <v>16</v>
      </c>
      <c r="O25" s="58" t="n">
        <v>16</v>
      </c>
      <c r="P25" s="58" t="n">
        <v>16</v>
      </c>
      <c r="Q25" s="59" t="n">
        <f aca="false">SUM(K25:P25)</f>
        <v>100</v>
      </c>
      <c r="R25" s="60" t="str">
        <f aca="false">INDEX($D$5:$I$5,MATCH(MAX(D25:I25),D25:I25,0))</f>
        <v>31-45</v>
      </c>
      <c r="S25" s="60" t="str">
        <f aca="false">INDEX($K$5:$P$5,MATCH(MAX(K25:P25),K25:P25,0))</f>
        <v>0-15</v>
      </c>
    </row>
    <row r="26" customFormat="false" ht="15" hidden="false" customHeight="true" outlineLevel="0" collapsed="false">
      <c r="A26" s="32" t="n">
        <v>21</v>
      </c>
      <c r="B26" s="33" t="s">
        <v>101</v>
      </c>
      <c r="C26" s="32" t="s">
        <v>102</v>
      </c>
      <c r="D26" s="58" t="n">
        <v>11</v>
      </c>
      <c r="E26" s="58" t="n">
        <v>14</v>
      </c>
      <c r="F26" s="58" t="n">
        <v>17</v>
      </c>
      <c r="G26" s="58" t="n">
        <v>16</v>
      </c>
      <c r="H26" s="58" t="n">
        <v>19</v>
      </c>
      <c r="I26" s="58" t="n">
        <v>23</v>
      </c>
      <c r="J26" s="59" t="n">
        <f aca="false">SUM(D26:I26)</f>
        <v>100</v>
      </c>
      <c r="K26" s="58" t="n">
        <v>10</v>
      </c>
      <c r="L26" s="58" t="n">
        <v>13</v>
      </c>
      <c r="M26" s="58" t="n">
        <v>15</v>
      </c>
      <c r="N26" s="58" t="n">
        <v>17</v>
      </c>
      <c r="O26" s="58" t="n">
        <v>19</v>
      </c>
      <c r="P26" s="58" t="n">
        <v>26</v>
      </c>
      <c r="Q26" s="59" t="n">
        <f aca="false">SUM(K26:P26)</f>
        <v>100</v>
      </c>
      <c r="R26" s="60" t="str">
        <f aca="false">INDEX($D$5:$I$5,MATCH(MAX(D26:I26),D26:I26,0))</f>
        <v>76-90</v>
      </c>
      <c r="S26" s="60" t="str">
        <f aca="false">INDEX($K$5:$P$5,MATCH(MAX(K26:P26),K26:P26,0))</f>
        <v>76-90</v>
      </c>
    </row>
    <row r="27" customFormat="false" ht="15" hidden="false" customHeight="true" outlineLevel="0" collapsed="false">
      <c r="A27" s="26" t="n">
        <v>22</v>
      </c>
      <c r="B27" s="27" t="s">
        <v>104</v>
      </c>
      <c r="C27" s="26" t="s">
        <v>102</v>
      </c>
      <c r="D27" s="58" t="n">
        <v>12</v>
      </c>
      <c r="E27" s="58" t="n">
        <v>15</v>
      </c>
      <c r="F27" s="58" t="n">
        <v>18</v>
      </c>
      <c r="G27" s="58" t="n">
        <v>16</v>
      </c>
      <c r="H27" s="58" t="n">
        <v>18</v>
      </c>
      <c r="I27" s="58" t="n">
        <v>21</v>
      </c>
      <c r="J27" s="59" t="n">
        <f aca="false">SUM(D27:I27)</f>
        <v>100</v>
      </c>
      <c r="K27" s="58" t="n">
        <v>14</v>
      </c>
      <c r="L27" s="58" t="n">
        <v>16</v>
      </c>
      <c r="M27" s="58" t="n">
        <v>16</v>
      </c>
      <c r="N27" s="58" t="n">
        <v>17</v>
      </c>
      <c r="O27" s="58" t="n">
        <v>18</v>
      </c>
      <c r="P27" s="58" t="n">
        <v>19</v>
      </c>
      <c r="Q27" s="59" t="n">
        <f aca="false">SUM(K27:P27)</f>
        <v>100</v>
      </c>
      <c r="R27" s="60" t="str">
        <f aca="false">INDEX($D$5:$I$5,MATCH(MAX(D27:I27),D27:I27,0))</f>
        <v>76-90</v>
      </c>
      <c r="S27" s="60" t="str">
        <f aca="false">INDEX($K$5:$P$5,MATCH(MAX(K27:P27),K27:P27,0))</f>
        <v>76-90</v>
      </c>
    </row>
    <row r="28" customFormat="false" ht="15" hidden="false" customHeight="true" outlineLevel="0" collapsed="false">
      <c r="A28" s="29" t="n">
        <v>23</v>
      </c>
      <c r="B28" s="30" t="s">
        <v>106</v>
      </c>
      <c r="C28" s="29" t="s">
        <v>102</v>
      </c>
      <c r="D28" s="58" t="n">
        <v>12</v>
      </c>
      <c r="E28" s="58" t="n">
        <v>15</v>
      </c>
      <c r="F28" s="58" t="n">
        <v>18</v>
      </c>
      <c r="G28" s="58" t="n">
        <v>16</v>
      </c>
      <c r="H28" s="58" t="n">
        <v>18</v>
      </c>
      <c r="I28" s="58" t="n">
        <v>21</v>
      </c>
      <c r="J28" s="59" t="n">
        <f aca="false">SUM(D28:I28)</f>
        <v>100</v>
      </c>
      <c r="K28" s="58" t="n">
        <v>18</v>
      </c>
      <c r="L28" s="58" t="n">
        <v>17</v>
      </c>
      <c r="M28" s="58" t="n">
        <v>17</v>
      </c>
      <c r="N28" s="58" t="n">
        <v>16</v>
      </c>
      <c r="O28" s="58" t="n">
        <v>16</v>
      </c>
      <c r="P28" s="58" t="n">
        <v>16</v>
      </c>
      <c r="Q28" s="59" t="n">
        <f aca="false">SUM(K28:P28)</f>
        <v>100</v>
      </c>
      <c r="R28" s="60" t="str">
        <f aca="false">INDEX($D$5:$I$5,MATCH(MAX(D28:I28),D28:I28,0))</f>
        <v>76-90</v>
      </c>
      <c r="S28" s="60" t="str">
        <f aca="false">INDEX($K$5:$P$5,MATCH(MAX(K28:P28),K28:P28,0))</f>
        <v>0-15</v>
      </c>
    </row>
    <row r="29" customFormat="false" ht="15" hidden="false" customHeight="true" outlineLevel="0" collapsed="false">
      <c r="A29" s="32" t="n">
        <v>24</v>
      </c>
      <c r="B29" s="33" t="s">
        <v>107</v>
      </c>
      <c r="C29" s="32" t="s">
        <v>102</v>
      </c>
      <c r="D29" s="58" t="n">
        <v>12</v>
      </c>
      <c r="E29" s="58" t="n">
        <v>15</v>
      </c>
      <c r="F29" s="58" t="n">
        <v>18</v>
      </c>
      <c r="G29" s="58" t="n">
        <v>16</v>
      </c>
      <c r="H29" s="58" t="n">
        <v>18</v>
      </c>
      <c r="I29" s="58" t="n">
        <v>21</v>
      </c>
      <c r="J29" s="59" t="n">
        <f aca="false">SUM(D29:I29)</f>
        <v>100</v>
      </c>
      <c r="K29" s="58" t="n">
        <v>14</v>
      </c>
      <c r="L29" s="58" t="n">
        <v>16</v>
      </c>
      <c r="M29" s="58" t="n">
        <v>16</v>
      </c>
      <c r="N29" s="58" t="n">
        <v>17</v>
      </c>
      <c r="O29" s="58" t="n">
        <v>18</v>
      </c>
      <c r="P29" s="58" t="n">
        <v>19</v>
      </c>
      <c r="Q29" s="59" t="n">
        <f aca="false">SUM(K29:P29)</f>
        <v>100</v>
      </c>
      <c r="R29" s="60" t="str">
        <f aca="false">INDEX($D$5:$I$5,MATCH(MAX(D29:I29),D29:I29,0))</f>
        <v>76-90</v>
      </c>
      <c r="S29" s="60" t="str">
        <f aca="false">INDEX($K$5:$P$5,MATCH(MAX(K29:P29),K29:P29,0))</f>
        <v>76-90</v>
      </c>
    </row>
    <row r="30" customFormat="false" ht="15" hidden="false" customHeight="true" outlineLevel="0" collapsed="false">
      <c r="A30" s="32" t="n">
        <v>25</v>
      </c>
      <c r="B30" s="33" t="s">
        <v>109</v>
      </c>
      <c r="C30" s="32" t="s">
        <v>110</v>
      </c>
      <c r="D30" s="58" t="n">
        <v>11</v>
      </c>
      <c r="E30" s="58" t="n">
        <v>14</v>
      </c>
      <c r="F30" s="58" t="n">
        <v>17</v>
      </c>
      <c r="G30" s="58" t="n">
        <v>16</v>
      </c>
      <c r="H30" s="58" t="n">
        <v>19</v>
      </c>
      <c r="I30" s="58" t="n">
        <v>23</v>
      </c>
      <c r="J30" s="59" t="n">
        <f aca="false">SUM(D30:I30)</f>
        <v>100</v>
      </c>
      <c r="K30" s="58" t="n">
        <v>10</v>
      </c>
      <c r="L30" s="58" t="n">
        <v>13</v>
      </c>
      <c r="M30" s="58" t="n">
        <v>15</v>
      </c>
      <c r="N30" s="58" t="n">
        <v>17</v>
      </c>
      <c r="O30" s="58" t="n">
        <v>19</v>
      </c>
      <c r="P30" s="58" t="n">
        <v>26</v>
      </c>
      <c r="Q30" s="59" t="n">
        <f aca="false">SUM(K30:P30)</f>
        <v>100</v>
      </c>
      <c r="R30" s="60" t="str">
        <f aca="false">INDEX($D$5:$I$5,MATCH(MAX(D30:I30),D30:I30,0))</f>
        <v>76-90</v>
      </c>
      <c r="S30" s="60" t="str">
        <f aca="false">INDEX($K$5:$P$5,MATCH(MAX(K30:P30),K30:P30,0))</f>
        <v>76-90</v>
      </c>
    </row>
    <row r="31" customFormat="false" ht="15" hidden="false" customHeight="true" outlineLevel="0" collapsed="false">
      <c r="A31" s="26" t="n">
        <v>26</v>
      </c>
      <c r="B31" s="27" t="s">
        <v>112</v>
      </c>
      <c r="C31" s="26" t="s">
        <v>110</v>
      </c>
      <c r="D31" s="58" t="n">
        <v>12</v>
      </c>
      <c r="E31" s="58" t="n">
        <v>15</v>
      </c>
      <c r="F31" s="58" t="n">
        <v>18</v>
      </c>
      <c r="G31" s="58" t="n">
        <v>16</v>
      </c>
      <c r="H31" s="58" t="n">
        <v>18</v>
      </c>
      <c r="I31" s="58" t="n">
        <v>21</v>
      </c>
      <c r="J31" s="59" t="n">
        <f aca="false">SUM(D31:I31)</f>
        <v>100</v>
      </c>
      <c r="K31" s="58" t="n">
        <v>14</v>
      </c>
      <c r="L31" s="58" t="n">
        <v>16</v>
      </c>
      <c r="M31" s="58" t="n">
        <v>16</v>
      </c>
      <c r="N31" s="58" t="n">
        <v>17</v>
      </c>
      <c r="O31" s="58" t="n">
        <v>18</v>
      </c>
      <c r="P31" s="58" t="n">
        <v>19</v>
      </c>
      <c r="Q31" s="59" t="n">
        <f aca="false">SUM(K31:P31)</f>
        <v>100</v>
      </c>
      <c r="R31" s="60" t="str">
        <f aca="false">INDEX($D$5:$I$5,MATCH(MAX(D31:I31),D31:I31,0))</f>
        <v>76-90</v>
      </c>
      <c r="S31" s="60" t="str">
        <f aca="false">INDEX($K$5:$P$5,MATCH(MAX(K31:P31),K31:P31,0))</f>
        <v>76-90</v>
      </c>
    </row>
    <row r="32" customFormat="false" ht="15" hidden="false" customHeight="true" outlineLevel="0" collapsed="false">
      <c r="A32" s="29" t="n">
        <v>27</v>
      </c>
      <c r="B32" s="30" t="s">
        <v>113</v>
      </c>
      <c r="C32" s="29" t="s">
        <v>110</v>
      </c>
      <c r="D32" s="58" t="n">
        <v>12</v>
      </c>
      <c r="E32" s="58" t="n">
        <v>15</v>
      </c>
      <c r="F32" s="58" t="n">
        <v>18</v>
      </c>
      <c r="G32" s="58" t="n">
        <v>16</v>
      </c>
      <c r="H32" s="58" t="n">
        <v>18</v>
      </c>
      <c r="I32" s="58" t="n">
        <v>21</v>
      </c>
      <c r="J32" s="59" t="n">
        <f aca="false">SUM(D32:I32)</f>
        <v>100</v>
      </c>
      <c r="K32" s="58" t="n">
        <v>14</v>
      </c>
      <c r="L32" s="58" t="n">
        <v>16</v>
      </c>
      <c r="M32" s="58" t="n">
        <v>16</v>
      </c>
      <c r="N32" s="58" t="n">
        <v>17</v>
      </c>
      <c r="O32" s="58" t="n">
        <v>18</v>
      </c>
      <c r="P32" s="58" t="n">
        <v>19</v>
      </c>
      <c r="Q32" s="59" t="n">
        <f aca="false">SUM(K32:P32)</f>
        <v>100</v>
      </c>
      <c r="R32" s="60" t="str">
        <f aca="false">INDEX($D$5:$I$5,MATCH(MAX(D32:I32),D32:I32,0))</f>
        <v>76-90</v>
      </c>
      <c r="S32" s="60" t="str">
        <f aca="false">INDEX($K$5:$P$5,MATCH(MAX(K32:P32),K32:P32,0))</f>
        <v>76-90</v>
      </c>
    </row>
    <row r="33" customFormat="false" ht="15" hidden="false" customHeight="true" outlineLevel="0" collapsed="false">
      <c r="A33" s="38" t="n">
        <v>28</v>
      </c>
      <c r="B33" s="39" t="s">
        <v>114</v>
      </c>
      <c r="C33" s="38" t="s">
        <v>110</v>
      </c>
      <c r="D33" s="58" t="n">
        <v>14</v>
      </c>
      <c r="E33" s="58" t="n">
        <v>16</v>
      </c>
      <c r="F33" s="58" t="n">
        <v>18</v>
      </c>
      <c r="G33" s="58" t="n">
        <v>17</v>
      </c>
      <c r="H33" s="58" t="n">
        <v>17</v>
      </c>
      <c r="I33" s="58" t="n">
        <v>18</v>
      </c>
      <c r="J33" s="59" t="n">
        <f aca="false">SUM(D33:I33)</f>
        <v>100</v>
      </c>
      <c r="K33" s="58" t="n">
        <v>18</v>
      </c>
      <c r="L33" s="58" t="n">
        <v>17</v>
      </c>
      <c r="M33" s="58" t="n">
        <v>17</v>
      </c>
      <c r="N33" s="58" t="n">
        <v>16</v>
      </c>
      <c r="O33" s="58" t="n">
        <v>16</v>
      </c>
      <c r="P33" s="58" t="n">
        <v>16</v>
      </c>
      <c r="Q33" s="59" t="n">
        <f aca="false">SUM(K33:P33)</f>
        <v>100</v>
      </c>
      <c r="R33" s="60" t="str">
        <f aca="false">INDEX($D$5:$I$5,MATCH(MAX(D33:I33),D33:I33,0))</f>
        <v>31-45</v>
      </c>
      <c r="S33" s="60" t="str">
        <f aca="false">INDEX($K$5:$P$5,MATCH(MAX(K33:P33),K33:P33,0))</f>
        <v>0-15</v>
      </c>
    </row>
    <row r="34" customFormat="false" ht="15" hidden="false" customHeight="true" outlineLevel="0" collapsed="false">
      <c r="A34" s="32" t="n">
        <v>29</v>
      </c>
      <c r="B34" s="33" t="s">
        <v>117</v>
      </c>
      <c r="C34" s="32" t="s">
        <v>118</v>
      </c>
      <c r="D34" s="58" t="n">
        <v>11</v>
      </c>
      <c r="E34" s="58" t="n">
        <v>14</v>
      </c>
      <c r="F34" s="58" t="n">
        <v>17</v>
      </c>
      <c r="G34" s="58" t="n">
        <v>16</v>
      </c>
      <c r="H34" s="58" t="n">
        <v>19</v>
      </c>
      <c r="I34" s="58" t="n">
        <v>23</v>
      </c>
      <c r="J34" s="59" t="n">
        <f aca="false">SUM(D34:I34)</f>
        <v>100</v>
      </c>
      <c r="K34" s="58" t="n">
        <v>10</v>
      </c>
      <c r="L34" s="58" t="n">
        <v>13</v>
      </c>
      <c r="M34" s="58" t="n">
        <v>15</v>
      </c>
      <c r="N34" s="58" t="n">
        <v>17</v>
      </c>
      <c r="O34" s="58" t="n">
        <v>19</v>
      </c>
      <c r="P34" s="58" t="n">
        <v>26</v>
      </c>
      <c r="Q34" s="59" t="n">
        <f aca="false">SUM(K34:P34)</f>
        <v>100</v>
      </c>
      <c r="R34" s="60" t="str">
        <f aca="false">INDEX($D$5:$I$5,MATCH(MAX(D34:I34),D34:I34,0))</f>
        <v>76-90</v>
      </c>
      <c r="S34" s="60" t="str">
        <f aca="false">INDEX($K$5:$P$5,MATCH(MAX(K34:P34),K34:P34,0))</f>
        <v>76-90</v>
      </c>
    </row>
    <row r="35" customFormat="false" ht="15" hidden="false" customHeight="true" outlineLevel="0" collapsed="false">
      <c r="A35" s="35" t="n">
        <v>30</v>
      </c>
      <c r="B35" s="36" t="s">
        <v>120</v>
      </c>
      <c r="C35" s="35" t="s">
        <v>118</v>
      </c>
      <c r="D35" s="58" t="n">
        <v>11</v>
      </c>
      <c r="E35" s="58" t="n">
        <v>14</v>
      </c>
      <c r="F35" s="58" t="n">
        <v>17</v>
      </c>
      <c r="G35" s="58" t="n">
        <v>16</v>
      </c>
      <c r="H35" s="58" t="n">
        <v>19</v>
      </c>
      <c r="I35" s="58" t="n">
        <v>23</v>
      </c>
      <c r="J35" s="59" t="n">
        <f aca="false">SUM(D35:I35)</f>
        <v>100</v>
      </c>
      <c r="K35" s="58" t="n">
        <v>10</v>
      </c>
      <c r="L35" s="58" t="n">
        <v>13</v>
      </c>
      <c r="M35" s="58" t="n">
        <v>15</v>
      </c>
      <c r="N35" s="58" t="n">
        <v>17</v>
      </c>
      <c r="O35" s="58" t="n">
        <v>19</v>
      </c>
      <c r="P35" s="58" t="n">
        <v>26</v>
      </c>
      <c r="Q35" s="59" t="n">
        <f aca="false">SUM(K35:P35)</f>
        <v>100</v>
      </c>
      <c r="R35" s="60" t="str">
        <f aca="false">INDEX($D$5:$I$5,MATCH(MAX(D35:I35),D35:I35,0))</f>
        <v>76-90</v>
      </c>
      <c r="S35" s="60" t="str">
        <f aca="false">INDEX($K$5:$P$5,MATCH(MAX(K35:P35),K35:P35,0))</f>
        <v>76-90</v>
      </c>
    </row>
    <row r="36" customFormat="false" ht="15" hidden="false" customHeight="true" outlineLevel="0" collapsed="false">
      <c r="A36" s="26" t="n">
        <v>31</v>
      </c>
      <c r="B36" s="27" t="s">
        <v>122</v>
      </c>
      <c r="C36" s="26" t="s">
        <v>118</v>
      </c>
      <c r="D36" s="58" t="n">
        <v>12</v>
      </c>
      <c r="E36" s="58" t="n">
        <v>15</v>
      </c>
      <c r="F36" s="58" t="n">
        <v>18</v>
      </c>
      <c r="G36" s="58" t="n">
        <v>16</v>
      </c>
      <c r="H36" s="58" t="n">
        <v>18</v>
      </c>
      <c r="I36" s="58" t="n">
        <v>21</v>
      </c>
      <c r="J36" s="59" t="n">
        <f aca="false">SUM(D36:I36)</f>
        <v>100</v>
      </c>
      <c r="K36" s="58" t="n">
        <v>18</v>
      </c>
      <c r="L36" s="58" t="n">
        <v>17</v>
      </c>
      <c r="M36" s="58" t="n">
        <v>17</v>
      </c>
      <c r="N36" s="58" t="n">
        <v>16</v>
      </c>
      <c r="O36" s="58" t="n">
        <v>16</v>
      </c>
      <c r="P36" s="58" t="n">
        <v>16</v>
      </c>
      <c r="Q36" s="59" t="n">
        <f aca="false">SUM(K36:P36)</f>
        <v>100</v>
      </c>
      <c r="R36" s="60" t="str">
        <f aca="false">INDEX($D$5:$I$5,MATCH(MAX(D36:I36),D36:I36,0))</f>
        <v>76-90</v>
      </c>
      <c r="S36" s="60" t="str">
        <f aca="false">INDEX($K$5:$P$5,MATCH(MAX(K36:P36),K36:P36,0))</f>
        <v>0-15</v>
      </c>
    </row>
    <row r="37" customFormat="false" ht="15" hidden="false" customHeight="true" outlineLevel="0" collapsed="false">
      <c r="A37" s="29" t="n">
        <v>32</v>
      </c>
      <c r="B37" s="30" t="s">
        <v>124</v>
      </c>
      <c r="C37" s="29" t="s">
        <v>118</v>
      </c>
      <c r="D37" s="58" t="n">
        <v>14</v>
      </c>
      <c r="E37" s="58" t="n">
        <v>16</v>
      </c>
      <c r="F37" s="58" t="n">
        <v>18</v>
      </c>
      <c r="G37" s="58" t="n">
        <v>17</v>
      </c>
      <c r="H37" s="58" t="n">
        <v>17</v>
      </c>
      <c r="I37" s="58" t="n">
        <v>18</v>
      </c>
      <c r="J37" s="59" t="n">
        <f aca="false">SUM(D37:I37)</f>
        <v>100</v>
      </c>
      <c r="K37" s="58" t="n">
        <v>18</v>
      </c>
      <c r="L37" s="58" t="n">
        <v>17</v>
      </c>
      <c r="M37" s="58" t="n">
        <v>17</v>
      </c>
      <c r="N37" s="58" t="n">
        <v>16</v>
      </c>
      <c r="O37" s="58" t="n">
        <v>16</v>
      </c>
      <c r="P37" s="58" t="n">
        <v>16</v>
      </c>
      <c r="Q37" s="59" t="n">
        <f aca="false">SUM(K37:P37)</f>
        <v>100</v>
      </c>
      <c r="R37" s="60" t="str">
        <f aca="false">INDEX($D$5:$I$5,MATCH(MAX(D37:I37),D37:I37,0))</f>
        <v>31-45</v>
      </c>
      <c r="S37" s="60" t="str">
        <f aca="false">INDEX($K$5:$P$5,MATCH(MAX(K37:P37),K37:P37,0))</f>
        <v>0-15</v>
      </c>
    </row>
    <row r="38" customFormat="false" ht="15" hidden="false" customHeight="true" outlineLevel="0" collapsed="false">
      <c r="A38" s="32" t="n">
        <v>33</v>
      </c>
      <c r="B38" s="33" t="s">
        <v>125</v>
      </c>
      <c r="C38" s="32" t="s">
        <v>126</v>
      </c>
      <c r="D38" s="58" t="n">
        <v>11</v>
      </c>
      <c r="E38" s="58" t="n">
        <v>14</v>
      </c>
      <c r="F38" s="58" t="n">
        <v>17</v>
      </c>
      <c r="G38" s="58" t="n">
        <v>16</v>
      </c>
      <c r="H38" s="58" t="n">
        <v>19</v>
      </c>
      <c r="I38" s="58" t="n">
        <v>23</v>
      </c>
      <c r="J38" s="59" t="n">
        <f aca="false">SUM(D38:I38)</f>
        <v>100</v>
      </c>
      <c r="K38" s="58" t="n">
        <v>10</v>
      </c>
      <c r="L38" s="58" t="n">
        <v>13</v>
      </c>
      <c r="M38" s="58" t="n">
        <v>15</v>
      </c>
      <c r="N38" s="58" t="n">
        <v>17</v>
      </c>
      <c r="O38" s="58" t="n">
        <v>19</v>
      </c>
      <c r="P38" s="58" t="n">
        <v>26</v>
      </c>
      <c r="Q38" s="59" t="n">
        <f aca="false">SUM(K38:P38)</f>
        <v>100</v>
      </c>
      <c r="R38" s="60" t="str">
        <f aca="false">INDEX($D$5:$I$5,MATCH(MAX(D38:I38),D38:I38,0))</f>
        <v>76-90</v>
      </c>
      <c r="S38" s="60" t="str">
        <f aca="false">INDEX($K$5:$P$5,MATCH(MAX(K38:P38),K38:P38,0))</f>
        <v>76-90</v>
      </c>
    </row>
    <row r="39" customFormat="false" ht="15" hidden="false" customHeight="true" outlineLevel="0" collapsed="false">
      <c r="A39" s="29" t="n">
        <v>34</v>
      </c>
      <c r="B39" s="30" t="s">
        <v>128</v>
      </c>
      <c r="C39" s="29" t="s">
        <v>126</v>
      </c>
      <c r="D39" s="58" t="n">
        <v>12</v>
      </c>
      <c r="E39" s="58" t="n">
        <v>15</v>
      </c>
      <c r="F39" s="58" t="n">
        <v>18</v>
      </c>
      <c r="G39" s="58" t="n">
        <v>16</v>
      </c>
      <c r="H39" s="58" t="n">
        <v>18</v>
      </c>
      <c r="I39" s="58" t="n">
        <v>21</v>
      </c>
      <c r="J39" s="59" t="n">
        <f aca="false">SUM(D39:I39)</f>
        <v>100</v>
      </c>
      <c r="K39" s="58" t="n">
        <v>14</v>
      </c>
      <c r="L39" s="58" t="n">
        <v>16</v>
      </c>
      <c r="M39" s="58" t="n">
        <v>16</v>
      </c>
      <c r="N39" s="58" t="n">
        <v>17</v>
      </c>
      <c r="O39" s="58" t="n">
        <v>18</v>
      </c>
      <c r="P39" s="58" t="n">
        <v>19</v>
      </c>
      <c r="Q39" s="59" t="n">
        <f aca="false">SUM(K39:P39)</f>
        <v>100</v>
      </c>
      <c r="R39" s="60" t="str">
        <f aca="false">INDEX($D$5:$I$5,MATCH(MAX(D39:I39),D39:I39,0))</f>
        <v>76-90</v>
      </c>
      <c r="S39" s="60" t="str">
        <f aca="false">INDEX($K$5:$P$5,MATCH(MAX(K39:P39),K39:P39,0))</f>
        <v>76-90</v>
      </c>
    </row>
    <row r="40" customFormat="false" ht="15" hidden="false" customHeight="true" outlineLevel="0" collapsed="false">
      <c r="A40" s="32" t="n">
        <v>35</v>
      </c>
      <c r="B40" s="33" t="s">
        <v>130</v>
      </c>
      <c r="C40" s="32" t="s">
        <v>126</v>
      </c>
      <c r="D40" s="58" t="n">
        <v>12</v>
      </c>
      <c r="E40" s="58" t="n">
        <v>15</v>
      </c>
      <c r="F40" s="58" t="n">
        <v>18</v>
      </c>
      <c r="G40" s="58" t="n">
        <v>16</v>
      </c>
      <c r="H40" s="58" t="n">
        <v>18</v>
      </c>
      <c r="I40" s="58" t="n">
        <v>21</v>
      </c>
      <c r="J40" s="59" t="n">
        <f aca="false">SUM(D40:I40)</f>
        <v>100</v>
      </c>
      <c r="K40" s="58" t="n">
        <v>14</v>
      </c>
      <c r="L40" s="58" t="n">
        <v>16</v>
      </c>
      <c r="M40" s="58" t="n">
        <v>16</v>
      </c>
      <c r="N40" s="58" t="n">
        <v>17</v>
      </c>
      <c r="O40" s="58" t="n">
        <v>18</v>
      </c>
      <c r="P40" s="58" t="n">
        <v>19</v>
      </c>
      <c r="Q40" s="59" t="n">
        <f aca="false">SUM(K40:P40)</f>
        <v>100</v>
      </c>
      <c r="R40" s="60" t="str">
        <f aca="false">INDEX($D$5:$I$5,MATCH(MAX(D40:I40),D40:I40,0))</f>
        <v>76-90</v>
      </c>
      <c r="S40" s="60" t="str">
        <f aca="false">INDEX($K$5:$P$5,MATCH(MAX(K40:P40),K40:P40,0))</f>
        <v>76-90</v>
      </c>
    </row>
    <row r="41" customFormat="false" ht="15" hidden="false" customHeight="true" outlineLevel="0" collapsed="false">
      <c r="A41" s="26" t="n">
        <v>36</v>
      </c>
      <c r="B41" s="27" t="s">
        <v>132</v>
      </c>
      <c r="C41" s="26" t="s">
        <v>126</v>
      </c>
      <c r="D41" s="58" t="n">
        <v>14</v>
      </c>
      <c r="E41" s="58" t="n">
        <v>16</v>
      </c>
      <c r="F41" s="58" t="n">
        <v>18</v>
      </c>
      <c r="G41" s="58" t="n">
        <v>17</v>
      </c>
      <c r="H41" s="58" t="n">
        <v>17</v>
      </c>
      <c r="I41" s="58" t="n">
        <v>18</v>
      </c>
      <c r="J41" s="59" t="n">
        <f aca="false">SUM(D41:I41)</f>
        <v>100</v>
      </c>
      <c r="K41" s="58" t="n">
        <v>18</v>
      </c>
      <c r="L41" s="58" t="n">
        <v>17</v>
      </c>
      <c r="M41" s="58" t="n">
        <v>17</v>
      </c>
      <c r="N41" s="58" t="n">
        <v>16</v>
      </c>
      <c r="O41" s="58" t="n">
        <v>16</v>
      </c>
      <c r="P41" s="58" t="n">
        <v>16</v>
      </c>
      <c r="Q41" s="59" t="n">
        <f aca="false">SUM(K41:P41)</f>
        <v>100</v>
      </c>
      <c r="R41" s="60" t="str">
        <f aca="false">INDEX($D$5:$I$5,MATCH(MAX(D41:I41),D41:I41,0))</f>
        <v>31-45</v>
      </c>
      <c r="S41" s="60" t="str">
        <f aca="false">INDEX($K$5:$P$5,MATCH(MAX(K41:P41),K41:P41,0))</f>
        <v>0-15</v>
      </c>
    </row>
    <row r="42" customFormat="false" ht="15" hidden="false" customHeight="true" outlineLevel="0" collapsed="false">
      <c r="A42" s="35" t="n">
        <v>37</v>
      </c>
      <c r="B42" s="36" t="s">
        <v>134</v>
      </c>
      <c r="C42" s="35" t="s">
        <v>135</v>
      </c>
      <c r="D42" s="58" t="n">
        <v>11</v>
      </c>
      <c r="E42" s="58" t="n">
        <v>14</v>
      </c>
      <c r="F42" s="58" t="n">
        <v>17</v>
      </c>
      <c r="G42" s="58" t="n">
        <v>16</v>
      </c>
      <c r="H42" s="58" t="n">
        <v>19</v>
      </c>
      <c r="I42" s="58" t="n">
        <v>23</v>
      </c>
      <c r="J42" s="59" t="n">
        <f aca="false">SUM(D42:I42)</f>
        <v>100</v>
      </c>
      <c r="K42" s="58" t="n">
        <v>10</v>
      </c>
      <c r="L42" s="58" t="n">
        <v>13</v>
      </c>
      <c r="M42" s="58" t="n">
        <v>15</v>
      </c>
      <c r="N42" s="58" t="n">
        <v>17</v>
      </c>
      <c r="O42" s="58" t="n">
        <v>19</v>
      </c>
      <c r="P42" s="58" t="n">
        <v>26</v>
      </c>
      <c r="Q42" s="59" t="n">
        <f aca="false">SUM(K42:P42)</f>
        <v>100</v>
      </c>
      <c r="R42" s="60" t="str">
        <f aca="false">INDEX($D$5:$I$5,MATCH(MAX(D42:I42),D42:I42,0))</f>
        <v>76-90</v>
      </c>
      <c r="S42" s="60" t="str">
        <f aca="false">INDEX($K$5:$P$5,MATCH(MAX(K42:P42),K42:P42,0))</f>
        <v>76-90</v>
      </c>
    </row>
    <row r="43" customFormat="false" ht="15" hidden="false" customHeight="true" outlineLevel="0" collapsed="false">
      <c r="A43" s="32" t="n">
        <v>38</v>
      </c>
      <c r="B43" s="33" t="s">
        <v>137</v>
      </c>
      <c r="C43" s="32" t="s">
        <v>135</v>
      </c>
      <c r="D43" s="58" t="n">
        <v>12</v>
      </c>
      <c r="E43" s="58" t="n">
        <v>15</v>
      </c>
      <c r="F43" s="58" t="n">
        <v>18</v>
      </c>
      <c r="G43" s="58" t="n">
        <v>16</v>
      </c>
      <c r="H43" s="58" t="n">
        <v>18</v>
      </c>
      <c r="I43" s="58" t="n">
        <v>21</v>
      </c>
      <c r="J43" s="59" t="n">
        <f aca="false">SUM(D43:I43)</f>
        <v>100</v>
      </c>
      <c r="K43" s="58" t="n">
        <v>14</v>
      </c>
      <c r="L43" s="58" t="n">
        <v>16</v>
      </c>
      <c r="M43" s="58" t="n">
        <v>16</v>
      </c>
      <c r="N43" s="58" t="n">
        <v>17</v>
      </c>
      <c r="O43" s="58" t="n">
        <v>18</v>
      </c>
      <c r="P43" s="58" t="n">
        <v>19</v>
      </c>
      <c r="Q43" s="59" t="n">
        <f aca="false">SUM(K43:P43)</f>
        <v>100</v>
      </c>
      <c r="R43" s="60" t="str">
        <f aca="false">INDEX($D$5:$I$5,MATCH(MAX(D43:I43),D43:I43,0))</f>
        <v>76-90</v>
      </c>
      <c r="S43" s="60" t="str">
        <f aca="false">INDEX($K$5:$P$5,MATCH(MAX(K43:P43),K43:P43,0))</f>
        <v>76-90</v>
      </c>
    </row>
    <row r="44" customFormat="false" ht="15" hidden="false" customHeight="true" outlineLevel="0" collapsed="false">
      <c r="A44" s="29" t="n">
        <v>39</v>
      </c>
      <c r="B44" s="30" t="s">
        <v>139</v>
      </c>
      <c r="C44" s="29" t="s">
        <v>135</v>
      </c>
      <c r="D44" s="58" t="n">
        <v>12</v>
      </c>
      <c r="E44" s="58" t="n">
        <v>15</v>
      </c>
      <c r="F44" s="58" t="n">
        <v>18</v>
      </c>
      <c r="G44" s="58" t="n">
        <v>16</v>
      </c>
      <c r="H44" s="58" t="n">
        <v>18</v>
      </c>
      <c r="I44" s="58" t="n">
        <v>21</v>
      </c>
      <c r="J44" s="59" t="n">
        <f aca="false">SUM(D44:I44)</f>
        <v>100</v>
      </c>
      <c r="K44" s="58" t="n">
        <v>14</v>
      </c>
      <c r="L44" s="58" t="n">
        <v>16</v>
      </c>
      <c r="M44" s="58" t="n">
        <v>16</v>
      </c>
      <c r="N44" s="58" t="n">
        <v>17</v>
      </c>
      <c r="O44" s="58" t="n">
        <v>18</v>
      </c>
      <c r="P44" s="58" t="n">
        <v>19</v>
      </c>
      <c r="Q44" s="59" t="n">
        <f aca="false">SUM(K44:P44)</f>
        <v>100</v>
      </c>
      <c r="R44" s="60" t="str">
        <f aca="false">INDEX($D$5:$I$5,MATCH(MAX(D44:I44),D44:I44,0))</f>
        <v>76-90</v>
      </c>
      <c r="S44" s="60" t="str">
        <f aca="false">INDEX($K$5:$P$5,MATCH(MAX(K44:P44),K44:P44,0))</f>
        <v>76-90</v>
      </c>
    </row>
    <row r="45" customFormat="false" ht="15" hidden="false" customHeight="true" outlineLevel="0" collapsed="false">
      <c r="A45" s="26" t="n">
        <v>40</v>
      </c>
      <c r="B45" s="27" t="s">
        <v>141</v>
      </c>
      <c r="C45" s="26" t="s">
        <v>135</v>
      </c>
      <c r="D45" s="58" t="n">
        <v>14</v>
      </c>
      <c r="E45" s="58" t="n">
        <v>16</v>
      </c>
      <c r="F45" s="58" t="n">
        <v>18</v>
      </c>
      <c r="G45" s="58" t="n">
        <v>17</v>
      </c>
      <c r="H45" s="58" t="n">
        <v>17</v>
      </c>
      <c r="I45" s="58" t="n">
        <v>18</v>
      </c>
      <c r="J45" s="59" t="n">
        <f aca="false">SUM(D45:I45)</f>
        <v>100</v>
      </c>
      <c r="K45" s="58" t="n">
        <v>18</v>
      </c>
      <c r="L45" s="58" t="n">
        <v>17</v>
      </c>
      <c r="M45" s="58" t="n">
        <v>17</v>
      </c>
      <c r="N45" s="58" t="n">
        <v>16</v>
      </c>
      <c r="O45" s="58" t="n">
        <v>16</v>
      </c>
      <c r="P45" s="58" t="n">
        <v>16</v>
      </c>
      <c r="Q45" s="59" t="n">
        <f aca="false">SUM(K45:P45)</f>
        <v>100</v>
      </c>
      <c r="R45" s="60" t="str">
        <f aca="false">INDEX($D$5:$I$5,MATCH(MAX(D45:I45),D45:I45,0))</f>
        <v>31-45</v>
      </c>
      <c r="S45" s="60" t="str">
        <f aca="false">INDEX($K$5:$P$5,MATCH(MAX(K45:P45),K45:P45,0))</f>
        <v>0-15</v>
      </c>
    </row>
    <row r="46" customFormat="false" ht="15" hidden="false" customHeight="true" outlineLevel="0" collapsed="false">
      <c r="A46" s="32" t="n">
        <v>41</v>
      </c>
      <c r="B46" s="33" t="s">
        <v>142</v>
      </c>
      <c r="C46" s="32" t="s">
        <v>143</v>
      </c>
      <c r="D46" s="58" t="n">
        <v>11</v>
      </c>
      <c r="E46" s="58" t="n">
        <v>14</v>
      </c>
      <c r="F46" s="58" t="n">
        <v>17</v>
      </c>
      <c r="G46" s="58" t="n">
        <v>16</v>
      </c>
      <c r="H46" s="58" t="n">
        <v>19</v>
      </c>
      <c r="I46" s="58" t="n">
        <v>23</v>
      </c>
      <c r="J46" s="59" t="n">
        <f aca="false">SUM(D46:I46)</f>
        <v>100</v>
      </c>
      <c r="K46" s="58" t="n">
        <v>10</v>
      </c>
      <c r="L46" s="58" t="n">
        <v>13</v>
      </c>
      <c r="M46" s="58" t="n">
        <v>15</v>
      </c>
      <c r="N46" s="58" t="n">
        <v>17</v>
      </c>
      <c r="O46" s="58" t="n">
        <v>19</v>
      </c>
      <c r="P46" s="58" t="n">
        <v>26</v>
      </c>
      <c r="Q46" s="59" t="n">
        <f aca="false">SUM(K46:P46)</f>
        <v>100</v>
      </c>
      <c r="R46" s="60" t="str">
        <f aca="false">INDEX($D$5:$I$5,MATCH(MAX(D46:I46),D46:I46,0))</f>
        <v>76-90</v>
      </c>
      <c r="S46" s="60" t="str">
        <f aca="false">INDEX($K$5:$P$5,MATCH(MAX(K46:P46),K46:P46,0))</f>
        <v>76-90</v>
      </c>
    </row>
    <row r="47" customFormat="false" ht="15" hidden="false" customHeight="true" outlineLevel="0" collapsed="false">
      <c r="A47" s="35" t="n">
        <v>42</v>
      </c>
      <c r="B47" s="36" t="s">
        <v>145</v>
      </c>
      <c r="C47" s="35" t="s">
        <v>143</v>
      </c>
      <c r="D47" s="58" t="n">
        <v>11</v>
      </c>
      <c r="E47" s="58" t="n">
        <v>14</v>
      </c>
      <c r="F47" s="58" t="n">
        <v>17</v>
      </c>
      <c r="G47" s="58" t="n">
        <v>16</v>
      </c>
      <c r="H47" s="58" t="n">
        <v>19</v>
      </c>
      <c r="I47" s="58" t="n">
        <v>23</v>
      </c>
      <c r="J47" s="59" t="n">
        <f aca="false">SUM(D47:I47)</f>
        <v>100</v>
      </c>
      <c r="K47" s="58" t="n">
        <v>10</v>
      </c>
      <c r="L47" s="58" t="n">
        <v>13</v>
      </c>
      <c r="M47" s="58" t="n">
        <v>15</v>
      </c>
      <c r="N47" s="58" t="n">
        <v>17</v>
      </c>
      <c r="O47" s="58" t="n">
        <v>19</v>
      </c>
      <c r="P47" s="58" t="n">
        <v>26</v>
      </c>
      <c r="Q47" s="59" t="n">
        <f aca="false">SUM(K47:P47)</f>
        <v>100</v>
      </c>
      <c r="R47" s="60" t="str">
        <f aca="false">INDEX($D$5:$I$5,MATCH(MAX(D47:I47),D47:I47,0))</f>
        <v>76-90</v>
      </c>
      <c r="S47" s="60" t="str">
        <f aca="false">INDEX($K$5:$P$5,MATCH(MAX(K47:P47),K47:P47,0))</f>
        <v>76-90</v>
      </c>
    </row>
    <row r="48" customFormat="false" ht="15" hidden="false" customHeight="true" outlineLevel="0" collapsed="false">
      <c r="A48" s="26" t="n">
        <v>43</v>
      </c>
      <c r="B48" s="27" t="s">
        <v>147</v>
      </c>
      <c r="C48" s="26" t="s">
        <v>143</v>
      </c>
      <c r="D48" s="58" t="n">
        <v>12</v>
      </c>
      <c r="E48" s="58" t="n">
        <v>15</v>
      </c>
      <c r="F48" s="58" t="n">
        <v>18</v>
      </c>
      <c r="G48" s="58" t="n">
        <v>16</v>
      </c>
      <c r="H48" s="58" t="n">
        <v>18</v>
      </c>
      <c r="I48" s="58" t="n">
        <v>21</v>
      </c>
      <c r="J48" s="59" t="n">
        <f aca="false">SUM(D48:I48)</f>
        <v>100</v>
      </c>
      <c r="K48" s="58" t="n">
        <v>18</v>
      </c>
      <c r="L48" s="58" t="n">
        <v>17</v>
      </c>
      <c r="M48" s="58" t="n">
        <v>17</v>
      </c>
      <c r="N48" s="58" t="n">
        <v>16</v>
      </c>
      <c r="O48" s="58" t="n">
        <v>16</v>
      </c>
      <c r="P48" s="58" t="n">
        <v>16</v>
      </c>
      <c r="Q48" s="59" t="n">
        <f aca="false">SUM(K48:P48)</f>
        <v>100</v>
      </c>
      <c r="R48" s="60" t="str">
        <f aca="false">INDEX($D$5:$I$5,MATCH(MAX(D48:I48),D48:I48,0))</f>
        <v>76-90</v>
      </c>
      <c r="S48" s="60" t="str">
        <f aca="false">INDEX($K$5:$P$5,MATCH(MAX(K48:P48),K48:P48,0))</f>
        <v>0-15</v>
      </c>
    </row>
    <row r="49" customFormat="false" ht="15" hidden="false" customHeight="true" outlineLevel="0" collapsed="false">
      <c r="A49" s="29" t="n">
        <v>44</v>
      </c>
      <c r="B49" s="30" t="s">
        <v>148</v>
      </c>
      <c r="C49" s="29" t="s">
        <v>143</v>
      </c>
      <c r="D49" s="58" t="n">
        <v>14</v>
      </c>
      <c r="E49" s="58" t="n">
        <v>16</v>
      </c>
      <c r="F49" s="58" t="n">
        <v>18</v>
      </c>
      <c r="G49" s="58" t="n">
        <v>17</v>
      </c>
      <c r="H49" s="58" t="n">
        <v>17</v>
      </c>
      <c r="I49" s="58" t="n">
        <v>18</v>
      </c>
      <c r="J49" s="59" t="n">
        <f aca="false">SUM(D49:I49)</f>
        <v>100</v>
      </c>
      <c r="K49" s="58" t="n">
        <v>18</v>
      </c>
      <c r="L49" s="58" t="n">
        <v>17</v>
      </c>
      <c r="M49" s="58" t="n">
        <v>17</v>
      </c>
      <c r="N49" s="58" t="n">
        <v>16</v>
      </c>
      <c r="O49" s="58" t="n">
        <v>16</v>
      </c>
      <c r="P49" s="58" t="n">
        <v>16</v>
      </c>
      <c r="Q49" s="59" t="n">
        <f aca="false">SUM(K49:P49)</f>
        <v>100</v>
      </c>
      <c r="R49" s="60" t="str">
        <f aca="false">INDEX($D$5:$I$5,MATCH(MAX(D49:I49),D49:I49,0))</f>
        <v>31-45</v>
      </c>
      <c r="S49" s="60" t="str">
        <f aca="false">INDEX($K$5:$P$5,MATCH(MAX(K49:P49),K49:P49,0))</f>
        <v>0-15</v>
      </c>
    </row>
    <row r="50" customFormat="false" ht="15" hidden="false" customHeight="true" outlineLevel="0" collapsed="false">
      <c r="A50" s="32" t="n">
        <v>45</v>
      </c>
      <c r="B50" s="33" t="s">
        <v>149</v>
      </c>
      <c r="C50" s="32" t="s">
        <v>150</v>
      </c>
      <c r="D50" s="58" t="n">
        <v>11</v>
      </c>
      <c r="E50" s="58" t="n">
        <v>14</v>
      </c>
      <c r="F50" s="58" t="n">
        <v>17</v>
      </c>
      <c r="G50" s="58" t="n">
        <v>16</v>
      </c>
      <c r="H50" s="58" t="n">
        <v>19</v>
      </c>
      <c r="I50" s="58" t="n">
        <v>23</v>
      </c>
      <c r="J50" s="59" t="n">
        <f aca="false">SUM(D50:I50)</f>
        <v>100</v>
      </c>
      <c r="K50" s="58" t="n">
        <v>10</v>
      </c>
      <c r="L50" s="58" t="n">
        <v>13</v>
      </c>
      <c r="M50" s="58" t="n">
        <v>15</v>
      </c>
      <c r="N50" s="58" t="n">
        <v>17</v>
      </c>
      <c r="O50" s="58" t="n">
        <v>19</v>
      </c>
      <c r="P50" s="58" t="n">
        <v>26</v>
      </c>
      <c r="Q50" s="59" t="n">
        <f aca="false">SUM(K50:P50)</f>
        <v>100</v>
      </c>
      <c r="R50" s="60" t="str">
        <f aca="false">INDEX($D$5:$I$5,MATCH(MAX(D50:I50),D50:I50,0))</f>
        <v>76-90</v>
      </c>
      <c r="S50" s="60" t="str">
        <f aca="false">INDEX($K$5:$P$5,MATCH(MAX(K50:P50),K50:P50,0))</f>
        <v>76-90</v>
      </c>
    </row>
    <row r="51" customFormat="false" ht="15" hidden="false" customHeight="true" outlineLevel="0" collapsed="false">
      <c r="A51" s="32" t="n">
        <v>46</v>
      </c>
      <c r="B51" s="33" t="s">
        <v>152</v>
      </c>
      <c r="C51" s="32" t="s">
        <v>150</v>
      </c>
      <c r="D51" s="58" t="n">
        <v>11</v>
      </c>
      <c r="E51" s="58" t="n">
        <v>14</v>
      </c>
      <c r="F51" s="58" t="n">
        <v>17</v>
      </c>
      <c r="G51" s="58" t="n">
        <v>16</v>
      </c>
      <c r="H51" s="58" t="n">
        <v>19</v>
      </c>
      <c r="I51" s="58" t="n">
        <v>23</v>
      </c>
      <c r="J51" s="59" t="n">
        <f aca="false">SUM(D51:I51)</f>
        <v>100</v>
      </c>
      <c r="K51" s="58" t="n">
        <v>10</v>
      </c>
      <c r="L51" s="58" t="n">
        <v>13</v>
      </c>
      <c r="M51" s="58" t="n">
        <v>15</v>
      </c>
      <c r="N51" s="58" t="n">
        <v>17</v>
      </c>
      <c r="O51" s="58" t="n">
        <v>19</v>
      </c>
      <c r="P51" s="58" t="n">
        <v>26</v>
      </c>
      <c r="Q51" s="59" t="n">
        <f aca="false">SUM(K51:P51)</f>
        <v>100</v>
      </c>
      <c r="R51" s="60" t="str">
        <f aca="false">INDEX($D$5:$I$5,MATCH(MAX(D51:I51),D51:I51,0))</f>
        <v>76-90</v>
      </c>
      <c r="S51" s="60" t="str">
        <f aca="false">INDEX($K$5:$P$5,MATCH(MAX(K51:P51),K51:P51,0))</f>
        <v>76-90</v>
      </c>
    </row>
    <row r="52" customFormat="false" ht="15" hidden="false" customHeight="true" outlineLevel="0" collapsed="false">
      <c r="A52" s="23" t="n">
        <v>47</v>
      </c>
      <c r="B52" s="24" t="s">
        <v>154</v>
      </c>
      <c r="C52" s="23" t="s">
        <v>150</v>
      </c>
      <c r="D52" s="58" t="n">
        <v>12</v>
      </c>
      <c r="E52" s="58" t="n">
        <v>15</v>
      </c>
      <c r="F52" s="58" t="n">
        <v>18</v>
      </c>
      <c r="G52" s="58" t="n">
        <v>16</v>
      </c>
      <c r="H52" s="58" t="n">
        <v>18</v>
      </c>
      <c r="I52" s="58" t="n">
        <v>21</v>
      </c>
      <c r="J52" s="59" t="n">
        <f aca="false">SUM(D52:I52)</f>
        <v>100</v>
      </c>
      <c r="K52" s="58" t="n">
        <v>18</v>
      </c>
      <c r="L52" s="58" t="n">
        <v>17</v>
      </c>
      <c r="M52" s="58" t="n">
        <v>17</v>
      </c>
      <c r="N52" s="58" t="n">
        <v>16</v>
      </c>
      <c r="O52" s="58" t="n">
        <v>16</v>
      </c>
      <c r="P52" s="58" t="n">
        <v>16</v>
      </c>
      <c r="Q52" s="59" t="n">
        <f aca="false">SUM(K52:P52)</f>
        <v>100</v>
      </c>
      <c r="R52" s="60" t="str">
        <f aca="false">INDEX($D$5:$I$5,MATCH(MAX(D52:I52),D52:I52,0))</f>
        <v>76-90</v>
      </c>
      <c r="S52" s="60" t="str">
        <f aca="false">INDEX($K$5:$P$5,MATCH(MAX(K52:P52),K52:P52,0))</f>
        <v>0-15</v>
      </c>
    </row>
    <row r="53" customFormat="false" ht="15" hidden="false" customHeight="true" outlineLevel="0" collapsed="false">
      <c r="A53" s="29" t="n">
        <v>48</v>
      </c>
      <c r="B53" s="30" t="s">
        <v>156</v>
      </c>
      <c r="C53" s="29" t="s">
        <v>150</v>
      </c>
      <c r="D53" s="58" t="n">
        <v>12</v>
      </c>
      <c r="E53" s="58" t="n">
        <v>15</v>
      </c>
      <c r="F53" s="58" t="n">
        <v>18</v>
      </c>
      <c r="G53" s="58" t="n">
        <v>16</v>
      </c>
      <c r="H53" s="58" t="n">
        <v>18</v>
      </c>
      <c r="I53" s="58" t="n">
        <v>21</v>
      </c>
      <c r="J53" s="59" t="n">
        <f aca="false">SUM(D53:I53)</f>
        <v>100</v>
      </c>
      <c r="K53" s="58" t="n">
        <v>18</v>
      </c>
      <c r="L53" s="58" t="n">
        <v>17</v>
      </c>
      <c r="M53" s="58" t="n">
        <v>17</v>
      </c>
      <c r="N53" s="58" t="n">
        <v>16</v>
      </c>
      <c r="O53" s="58" t="n">
        <v>16</v>
      </c>
      <c r="P53" s="58" t="n">
        <v>16</v>
      </c>
      <c r="Q53" s="59" t="n">
        <f aca="false">SUM(K53:P53)</f>
        <v>100</v>
      </c>
      <c r="R53" s="60" t="str">
        <f aca="false">INDEX($D$5:$I$5,MATCH(MAX(D53:I53),D53:I53,0))</f>
        <v>76-90</v>
      </c>
      <c r="S53" s="60" t="str">
        <f aca="false">INDEX($K$5:$P$5,MATCH(MAX(K53:P53),K53:P53,0))</f>
        <v>0-15</v>
      </c>
    </row>
  </sheetData>
  <mergeCells count="7">
    <mergeCell ref="A1:S1"/>
    <mergeCell ref="A2:S2"/>
    <mergeCell ref="A3:S3"/>
    <mergeCell ref="A4:C4"/>
    <mergeCell ref="D4:I4"/>
    <mergeCell ref="K4:P4"/>
    <mergeCell ref="R4:S4"/>
  </mergeCells>
  <conditionalFormatting sqref="J6:J53">
    <cfRule type="expression" priority="2" aboveAverage="0" equalAverage="0" bottom="0" percent="0" rank="0" text="" dxfId="1">
      <formula>AND(ROUND(J6,1)&lt;&gt;100,J6&lt;&gt;"")</formula>
    </cfRule>
  </conditionalFormatting>
  <conditionalFormatting sqref="Q6:Q53">
    <cfRule type="expression" priority="3" aboveAverage="0" equalAverage="0" bottom="0" percent="0" rank="0" text="" dxfId="1">
      <formula>AND(ROUND(Q6,1)&lt;&gt;100,Q6&lt;&gt;"")</formula>
    </cfRule>
  </conditionalFormatting>
  <conditionalFormatting sqref="D6:D53">
    <cfRule type="colorScale" priority="4">
      <colorScale>
        <cfvo type="min" val="0"/>
        <cfvo type="max" val="0"/>
        <color rgb="FFFFFFFF"/>
        <color rgb="FF70AD47"/>
      </colorScale>
    </cfRule>
  </conditionalFormatting>
  <conditionalFormatting sqref="E6:E53">
    <cfRule type="colorScale" priority="5">
      <colorScale>
        <cfvo type="min" val="0"/>
        <cfvo type="max" val="0"/>
        <color rgb="FFFFFFFF"/>
        <color rgb="FF70AD47"/>
      </colorScale>
    </cfRule>
  </conditionalFormatting>
  <conditionalFormatting sqref="F6:F53">
    <cfRule type="colorScale" priority="6">
      <colorScale>
        <cfvo type="min" val="0"/>
        <cfvo type="max" val="0"/>
        <color rgb="FFFFFFFF"/>
        <color rgb="FF70AD47"/>
      </colorScale>
    </cfRule>
  </conditionalFormatting>
  <conditionalFormatting sqref="G6:G53">
    <cfRule type="colorScale" priority="7">
      <colorScale>
        <cfvo type="min" val="0"/>
        <cfvo type="max" val="0"/>
        <color rgb="FFFFFFFF"/>
        <color rgb="FF70AD47"/>
      </colorScale>
    </cfRule>
  </conditionalFormatting>
  <conditionalFormatting sqref="H6:H53">
    <cfRule type="colorScale" priority="8">
      <colorScale>
        <cfvo type="min" val="0"/>
        <cfvo type="max" val="0"/>
        <color rgb="FFFFFFFF"/>
        <color rgb="FF70AD47"/>
      </colorScale>
    </cfRule>
  </conditionalFormatting>
  <conditionalFormatting sqref="I6:I53">
    <cfRule type="colorScale" priority="9">
      <colorScale>
        <cfvo type="min" val="0"/>
        <cfvo type="max" val="0"/>
        <color rgb="FFFFFFFF"/>
        <color rgb="FF70AD47"/>
      </colorScale>
    </cfRule>
  </conditionalFormatting>
  <conditionalFormatting sqref="K6:K53">
    <cfRule type="colorScale" priority="10">
      <colorScale>
        <cfvo type="min" val="0"/>
        <cfvo type="max" val="0"/>
        <color rgb="FFFFFFFF"/>
        <color rgb="FFC00000"/>
      </colorScale>
    </cfRule>
  </conditionalFormatting>
  <conditionalFormatting sqref="L6:L53">
    <cfRule type="colorScale" priority="11">
      <colorScale>
        <cfvo type="min" val="0"/>
        <cfvo type="max" val="0"/>
        <color rgb="FFFFFFFF"/>
        <color rgb="FFC00000"/>
      </colorScale>
    </cfRule>
  </conditionalFormatting>
  <conditionalFormatting sqref="M6:M53">
    <cfRule type="colorScale" priority="12">
      <colorScale>
        <cfvo type="min" val="0"/>
        <cfvo type="max" val="0"/>
        <color rgb="FFFFFFFF"/>
        <color rgb="FFC00000"/>
      </colorScale>
    </cfRule>
  </conditionalFormatting>
  <conditionalFormatting sqref="N6:N53">
    <cfRule type="colorScale" priority="13">
      <colorScale>
        <cfvo type="min" val="0"/>
        <cfvo type="max" val="0"/>
        <color rgb="FFFFFFFF"/>
        <color rgb="FFC00000"/>
      </colorScale>
    </cfRule>
  </conditionalFormatting>
  <conditionalFormatting sqref="O6:O53">
    <cfRule type="colorScale" priority="14">
      <colorScale>
        <cfvo type="min" val="0"/>
        <cfvo type="max" val="0"/>
        <color rgb="FFFFFFFF"/>
        <color rgb="FFC00000"/>
      </colorScale>
    </cfRule>
  </conditionalFormatting>
  <conditionalFormatting sqref="P6:P53">
    <cfRule type="colorScale" priority="15">
      <colorScale>
        <cfvo type="min" val="0"/>
        <cfvo type="max" val="0"/>
        <color rgb="FFFFFFFF"/>
        <color rgb="FFC0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4" min="3" style="1" width="7"/>
    <col collapsed="false" customWidth="true" hidden="false" outlineLevel="0" max="5" min="5" style="1" width="18"/>
    <col collapsed="false" customWidth="true" hidden="false" outlineLevel="0" max="6" min="6" style="1" width="2"/>
    <col collapsed="false" customWidth="true" hidden="false" outlineLevel="0" max="7" min="7" style="1" width="5"/>
    <col collapsed="false" customWidth="true" hidden="false" outlineLevel="0" max="8" min="8" style="1" width="24"/>
    <col collapsed="false" customWidth="true" hidden="false" outlineLevel="0" max="10" min="9" style="1" width="7"/>
    <col collapsed="false" customWidth="true" hidden="false" outlineLevel="0" max="11" min="11" style="1" width="18"/>
  </cols>
  <sheetData>
    <row r="1" customFormat="false" ht="27.75" hidden="false" customHeight="true" outlineLevel="0" collapsed="false">
      <c r="A1" s="19" t="s">
        <v>466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customFormat="false" ht="15" hidden="false" customHeight="true" outlineLevel="0" collapsed="false">
      <c r="A2" s="61" t="s">
        <v>467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4" customFormat="false" ht="15" hidden="false" customHeight="true" outlineLevel="0" collapsed="false">
      <c r="A4" s="4" t="s">
        <v>468</v>
      </c>
      <c r="B4" s="4"/>
      <c r="C4" s="4"/>
      <c r="D4" s="4"/>
      <c r="E4" s="4"/>
      <c r="G4" s="4" t="s">
        <v>469</v>
      </c>
      <c r="H4" s="4"/>
      <c r="I4" s="4"/>
      <c r="J4" s="4"/>
      <c r="K4" s="4"/>
    </row>
    <row r="5" customFormat="false" ht="15" hidden="false" customHeight="true" outlineLevel="0" collapsed="false">
      <c r="A5" s="62" t="s">
        <v>45</v>
      </c>
      <c r="B5" s="62" t="s">
        <v>46</v>
      </c>
      <c r="C5" s="62" t="s">
        <v>470</v>
      </c>
      <c r="D5" s="62" t="s">
        <v>471</v>
      </c>
      <c r="E5" s="62" t="s">
        <v>472</v>
      </c>
      <c r="G5" s="62" t="s">
        <v>45</v>
      </c>
      <c r="H5" s="62" t="s">
        <v>46</v>
      </c>
      <c r="I5" s="62" t="s">
        <v>470</v>
      </c>
      <c r="J5" s="62" t="s">
        <v>471</v>
      </c>
      <c r="K5" s="62" t="s">
        <v>472</v>
      </c>
    </row>
    <row r="6" customFormat="false" ht="15" hidden="false" customHeight="true" outlineLevel="0" collapsed="false">
      <c r="A6" s="63" t="n">
        <v>1</v>
      </c>
      <c r="B6" s="64" t="s">
        <v>57</v>
      </c>
      <c r="C6" s="63" t="n">
        <v>6.5</v>
      </c>
      <c r="D6" s="65" t="n">
        <v>2</v>
      </c>
      <c r="E6" s="63" t="s">
        <v>473</v>
      </c>
      <c r="G6" s="63" t="n">
        <v>1</v>
      </c>
      <c r="H6" s="64" t="s">
        <v>69</v>
      </c>
      <c r="I6" s="63" t="n">
        <v>7.65</v>
      </c>
      <c r="J6" s="65" t="n">
        <v>3</v>
      </c>
      <c r="K6" s="63" t="s">
        <v>473</v>
      </c>
    </row>
    <row r="7" customFormat="false" ht="15" hidden="false" customHeight="true" outlineLevel="0" collapsed="false">
      <c r="A7" s="63" t="n">
        <v>2</v>
      </c>
      <c r="B7" s="64" t="s">
        <v>53</v>
      </c>
      <c r="C7" s="63" t="n">
        <v>5.03</v>
      </c>
      <c r="D7" s="65" t="n">
        <v>2</v>
      </c>
      <c r="E7" s="63" t="s">
        <v>473</v>
      </c>
      <c r="G7" s="63" t="n">
        <v>2</v>
      </c>
      <c r="H7" s="64" t="s">
        <v>73</v>
      </c>
      <c r="I7" s="63" t="n">
        <v>3.92</v>
      </c>
      <c r="J7" s="65" t="n">
        <v>0</v>
      </c>
      <c r="K7" s="63" t="s">
        <v>473</v>
      </c>
    </row>
    <row r="8" customFormat="false" ht="15" hidden="false" customHeight="true" outlineLevel="0" collapsed="false">
      <c r="A8" s="63" t="n">
        <v>3</v>
      </c>
      <c r="B8" s="64" t="s">
        <v>63</v>
      </c>
      <c r="C8" s="63" t="n">
        <v>3.55</v>
      </c>
      <c r="D8" s="65" t="n">
        <v>0</v>
      </c>
      <c r="E8" s="63" t="s">
        <v>474</v>
      </c>
      <c r="G8" s="66" t="n">
        <v>3</v>
      </c>
      <c r="H8" s="67" t="s">
        <v>66</v>
      </c>
      <c r="I8" s="66" t="n">
        <v>3.47</v>
      </c>
      <c r="J8" s="68" t="n">
        <v>0</v>
      </c>
      <c r="K8" s="66" t="s">
        <v>475</v>
      </c>
    </row>
    <row r="9" customFormat="false" ht="15" hidden="false" customHeight="true" outlineLevel="0" collapsed="false">
      <c r="A9" s="69" t="n">
        <v>4</v>
      </c>
      <c r="B9" s="70" t="s">
        <v>60</v>
      </c>
      <c r="C9" s="69" t="n">
        <v>1.31</v>
      </c>
      <c r="D9" s="71" t="n">
        <v>-4</v>
      </c>
      <c r="E9" s="69" t="s">
        <v>475</v>
      </c>
      <c r="G9" s="69" t="n">
        <v>4</v>
      </c>
      <c r="H9" s="70" t="s">
        <v>71</v>
      </c>
      <c r="I9" s="69" t="n">
        <v>0.92</v>
      </c>
      <c r="J9" s="71" t="n">
        <v>-3</v>
      </c>
      <c r="K9" s="69" t="s">
        <v>475</v>
      </c>
    </row>
    <row r="11" customFormat="false" ht="15" hidden="false" customHeight="true" outlineLevel="0" collapsed="false">
      <c r="A11" s="4" t="s">
        <v>476</v>
      </c>
      <c r="B11" s="4"/>
      <c r="C11" s="4"/>
      <c r="D11" s="4"/>
      <c r="E11" s="4"/>
      <c r="G11" s="4" t="s">
        <v>477</v>
      </c>
      <c r="H11" s="4"/>
      <c r="I11" s="4"/>
      <c r="J11" s="4"/>
      <c r="K11" s="4"/>
    </row>
    <row r="12" customFormat="false" ht="15" hidden="false" customHeight="true" outlineLevel="0" collapsed="false">
      <c r="A12" s="62" t="s">
        <v>45</v>
      </c>
      <c r="B12" s="62" t="s">
        <v>46</v>
      </c>
      <c r="C12" s="62" t="s">
        <v>470</v>
      </c>
      <c r="D12" s="62" t="s">
        <v>471</v>
      </c>
      <c r="E12" s="62" t="s">
        <v>472</v>
      </c>
      <c r="G12" s="62" t="s">
        <v>45</v>
      </c>
      <c r="H12" s="62" t="s">
        <v>46</v>
      </c>
      <c r="I12" s="62" t="s">
        <v>470</v>
      </c>
      <c r="J12" s="62" t="s">
        <v>471</v>
      </c>
      <c r="K12" s="62" t="s">
        <v>472</v>
      </c>
    </row>
    <row r="13" customFormat="false" ht="15" hidden="false" customHeight="true" outlineLevel="0" collapsed="false">
      <c r="A13" s="63" t="n">
        <v>1</v>
      </c>
      <c r="B13" s="64" t="s">
        <v>75</v>
      </c>
      <c r="C13" s="63" t="n">
        <v>5.81</v>
      </c>
      <c r="D13" s="65" t="n">
        <v>1</v>
      </c>
      <c r="E13" s="63" t="s">
        <v>473</v>
      </c>
      <c r="G13" s="63" t="n">
        <v>1</v>
      </c>
      <c r="H13" s="64" t="s">
        <v>91</v>
      </c>
      <c r="I13" s="63" t="n">
        <v>6.93</v>
      </c>
      <c r="J13" s="65" t="n">
        <v>3</v>
      </c>
      <c r="K13" s="63" t="s">
        <v>473</v>
      </c>
    </row>
    <row r="14" customFormat="false" ht="15" hidden="false" customHeight="true" outlineLevel="0" collapsed="false">
      <c r="A14" s="63" t="n">
        <v>2</v>
      </c>
      <c r="B14" s="64" t="s">
        <v>79</v>
      </c>
      <c r="C14" s="63" t="n">
        <v>4.81</v>
      </c>
      <c r="D14" s="65" t="n">
        <v>1</v>
      </c>
      <c r="E14" s="63" t="s">
        <v>473</v>
      </c>
      <c r="G14" s="63" t="n">
        <v>2</v>
      </c>
      <c r="H14" s="64" t="s">
        <v>89</v>
      </c>
      <c r="I14" s="63" t="n">
        <v>3.41</v>
      </c>
      <c r="J14" s="65" t="n">
        <v>-1</v>
      </c>
      <c r="K14" s="63" t="s">
        <v>473</v>
      </c>
    </row>
    <row r="15" customFormat="false" ht="15" hidden="false" customHeight="true" outlineLevel="0" collapsed="false">
      <c r="A15" s="63" t="n">
        <v>3</v>
      </c>
      <c r="B15" s="64" t="s">
        <v>81</v>
      </c>
      <c r="C15" s="63" t="n">
        <v>4.52</v>
      </c>
      <c r="D15" s="65" t="n">
        <v>1</v>
      </c>
      <c r="E15" s="63" t="s">
        <v>474</v>
      </c>
      <c r="G15" s="63" t="n">
        <v>3</v>
      </c>
      <c r="H15" s="64" t="s">
        <v>84</v>
      </c>
      <c r="I15" s="63" t="n">
        <v>2.75</v>
      </c>
      <c r="J15" s="65" t="n">
        <v>-1</v>
      </c>
      <c r="K15" s="63" t="s">
        <v>475</v>
      </c>
    </row>
    <row r="16" customFormat="false" ht="15" hidden="false" customHeight="true" outlineLevel="0" collapsed="false">
      <c r="A16" s="69" t="n">
        <v>4</v>
      </c>
      <c r="B16" s="70" t="s">
        <v>82</v>
      </c>
      <c r="C16" s="69" t="n">
        <v>0.88</v>
      </c>
      <c r="D16" s="71" t="n">
        <v>-3</v>
      </c>
      <c r="E16" s="69" t="s">
        <v>475</v>
      </c>
      <c r="G16" s="69" t="n">
        <v>4</v>
      </c>
      <c r="H16" s="70" t="s">
        <v>87</v>
      </c>
      <c r="I16" s="69" t="n">
        <v>2.65</v>
      </c>
      <c r="J16" s="71" t="n">
        <v>-1</v>
      </c>
      <c r="K16" s="69" t="s">
        <v>475</v>
      </c>
    </row>
    <row r="18" customFormat="false" ht="15" hidden="false" customHeight="true" outlineLevel="0" collapsed="false">
      <c r="A18" s="4" t="s">
        <v>478</v>
      </c>
      <c r="B18" s="4"/>
      <c r="C18" s="4"/>
      <c r="D18" s="4"/>
      <c r="E18" s="4"/>
      <c r="G18" s="4" t="s">
        <v>479</v>
      </c>
      <c r="H18" s="4"/>
      <c r="I18" s="4"/>
      <c r="J18" s="4"/>
      <c r="K18" s="4"/>
    </row>
    <row r="19" customFormat="false" ht="15" hidden="false" customHeight="true" outlineLevel="0" collapsed="false">
      <c r="A19" s="62" t="s">
        <v>45</v>
      </c>
      <c r="B19" s="62" t="s">
        <v>46</v>
      </c>
      <c r="C19" s="62" t="s">
        <v>470</v>
      </c>
      <c r="D19" s="62" t="s">
        <v>471</v>
      </c>
      <c r="E19" s="62" t="s">
        <v>472</v>
      </c>
      <c r="G19" s="62" t="s">
        <v>45</v>
      </c>
      <c r="H19" s="62" t="s">
        <v>46</v>
      </c>
      <c r="I19" s="62" t="s">
        <v>470</v>
      </c>
      <c r="J19" s="62" t="s">
        <v>471</v>
      </c>
      <c r="K19" s="62" t="s">
        <v>472</v>
      </c>
    </row>
    <row r="20" customFormat="false" ht="15" hidden="false" customHeight="true" outlineLevel="0" collapsed="false">
      <c r="A20" s="63" t="n">
        <v>1</v>
      </c>
      <c r="B20" s="64" t="s">
        <v>98</v>
      </c>
      <c r="C20" s="63" t="n">
        <v>5.78</v>
      </c>
      <c r="D20" s="65" t="n">
        <v>3</v>
      </c>
      <c r="E20" s="63" t="s">
        <v>473</v>
      </c>
      <c r="G20" s="63" t="n">
        <v>1</v>
      </c>
      <c r="H20" s="64" t="s">
        <v>101</v>
      </c>
      <c r="I20" s="63" t="n">
        <v>5.62</v>
      </c>
      <c r="J20" s="65" t="n">
        <v>1</v>
      </c>
      <c r="K20" s="63" t="s">
        <v>473</v>
      </c>
    </row>
    <row r="21" customFormat="false" ht="15" hidden="false" customHeight="true" outlineLevel="0" collapsed="false">
      <c r="A21" s="63" t="n">
        <v>2</v>
      </c>
      <c r="B21" s="64" t="s">
        <v>93</v>
      </c>
      <c r="C21" s="63" t="n">
        <v>5.05</v>
      </c>
      <c r="D21" s="65" t="n">
        <v>1</v>
      </c>
      <c r="E21" s="63" t="s">
        <v>473</v>
      </c>
      <c r="G21" s="63" t="n">
        <v>2</v>
      </c>
      <c r="H21" s="64" t="s">
        <v>104</v>
      </c>
      <c r="I21" s="63" t="n">
        <v>4.89</v>
      </c>
      <c r="J21" s="65" t="n">
        <v>2</v>
      </c>
      <c r="K21" s="63" t="s">
        <v>473</v>
      </c>
    </row>
    <row r="22" customFormat="false" ht="15" hidden="false" customHeight="true" outlineLevel="0" collapsed="false">
      <c r="A22" s="63" t="n">
        <v>3</v>
      </c>
      <c r="B22" s="64" t="s">
        <v>96</v>
      </c>
      <c r="C22" s="63" t="n">
        <v>3.49</v>
      </c>
      <c r="D22" s="65" t="n">
        <v>-1</v>
      </c>
      <c r="E22" s="63" t="s">
        <v>474</v>
      </c>
      <c r="G22" s="63" t="n">
        <v>3</v>
      </c>
      <c r="H22" s="64" t="s">
        <v>106</v>
      </c>
      <c r="I22" s="63" t="n">
        <v>4.83</v>
      </c>
      <c r="J22" s="65" t="n">
        <v>1</v>
      </c>
      <c r="K22" s="63" t="s">
        <v>474</v>
      </c>
    </row>
    <row r="23" customFormat="false" ht="15" hidden="false" customHeight="true" outlineLevel="0" collapsed="false">
      <c r="A23" s="69" t="n">
        <v>4</v>
      </c>
      <c r="B23" s="70" t="s">
        <v>99</v>
      </c>
      <c r="C23" s="69" t="n">
        <v>1.56</v>
      </c>
      <c r="D23" s="71" t="n">
        <v>-3</v>
      </c>
      <c r="E23" s="69" t="s">
        <v>475</v>
      </c>
      <c r="G23" s="69" t="n">
        <v>4</v>
      </c>
      <c r="H23" s="70" t="s">
        <v>107</v>
      </c>
      <c r="I23" s="69" t="n">
        <v>0.58</v>
      </c>
      <c r="J23" s="71" t="n">
        <v>-4</v>
      </c>
      <c r="K23" s="69" t="s">
        <v>475</v>
      </c>
    </row>
    <row r="25" customFormat="false" ht="15" hidden="false" customHeight="true" outlineLevel="0" collapsed="false">
      <c r="A25" s="4" t="s">
        <v>480</v>
      </c>
      <c r="B25" s="4"/>
      <c r="C25" s="4"/>
      <c r="D25" s="4"/>
      <c r="E25" s="4"/>
      <c r="G25" s="4" t="s">
        <v>481</v>
      </c>
      <c r="H25" s="4"/>
      <c r="I25" s="4"/>
      <c r="J25" s="4"/>
      <c r="K25" s="4"/>
    </row>
    <row r="26" customFormat="false" ht="15" hidden="false" customHeight="true" outlineLevel="0" collapsed="false">
      <c r="A26" s="62" t="s">
        <v>45</v>
      </c>
      <c r="B26" s="62" t="s">
        <v>46</v>
      </c>
      <c r="C26" s="62" t="s">
        <v>470</v>
      </c>
      <c r="D26" s="62" t="s">
        <v>471</v>
      </c>
      <c r="E26" s="62" t="s">
        <v>472</v>
      </c>
      <c r="G26" s="62" t="s">
        <v>45</v>
      </c>
      <c r="H26" s="62" t="s">
        <v>46</v>
      </c>
      <c r="I26" s="62" t="s">
        <v>470</v>
      </c>
      <c r="J26" s="62" t="s">
        <v>471</v>
      </c>
      <c r="K26" s="62" t="s">
        <v>472</v>
      </c>
    </row>
    <row r="27" customFormat="false" ht="15" hidden="false" customHeight="true" outlineLevel="0" collapsed="false">
      <c r="A27" s="63" t="n">
        <v>1</v>
      </c>
      <c r="B27" s="64" t="s">
        <v>113</v>
      </c>
      <c r="C27" s="63" t="n">
        <v>6.94</v>
      </c>
      <c r="D27" s="65" t="n">
        <v>3</v>
      </c>
      <c r="E27" s="63" t="s">
        <v>473</v>
      </c>
      <c r="G27" s="63" t="n">
        <v>1</v>
      </c>
      <c r="H27" s="64" t="s">
        <v>117</v>
      </c>
      <c r="I27" s="63" t="n">
        <v>7.75</v>
      </c>
      <c r="J27" s="65" t="n">
        <v>3</v>
      </c>
      <c r="K27" s="63" t="s">
        <v>473</v>
      </c>
    </row>
    <row r="28" customFormat="false" ht="15" hidden="false" customHeight="true" outlineLevel="0" collapsed="false">
      <c r="A28" s="63" t="n">
        <v>2</v>
      </c>
      <c r="B28" s="64" t="s">
        <v>109</v>
      </c>
      <c r="C28" s="63" t="n">
        <v>4.72</v>
      </c>
      <c r="D28" s="65" t="n">
        <v>0</v>
      </c>
      <c r="E28" s="63" t="s">
        <v>473</v>
      </c>
      <c r="G28" s="63" t="n">
        <v>2</v>
      </c>
      <c r="H28" s="64" t="s">
        <v>120</v>
      </c>
      <c r="I28" s="63" t="n">
        <v>4.52</v>
      </c>
      <c r="J28" s="65" t="n">
        <v>1</v>
      </c>
      <c r="K28" s="63" t="s">
        <v>473</v>
      </c>
    </row>
    <row r="29" customFormat="false" ht="15" hidden="false" customHeight="true" outlineLevel="0" collapsed="false">
      <c r="A29" s="63" t="n">
        <v>3</v>
      </c>
      <c r="B29" s="64" t="s">
        <v>112</v>
      </c>
      <c r="C29" s="63" t="n">
        <v>4.08</v>
      </c>
      <c r="D29" s="65" t="n">
        <v>0</v>
      </c>
      <c r="E29" s="63" t="s">
        <v>474</v>
      </c>
      <c r="G29" s="66" t="n">
        <v>3</v>
      </c>
      <c r="H29" s="67" t="s">
        <v>124</v>
      </c>
      <c r="I29" s="66" t="n">
        <v>3.32</v>
      </c>
      <c r="J29" s="68" t="n">
        <v>-1</v>
      </c>
      <c r="K29" s="66" t="s">
        <v>475</v>
      </c>
    </row>
    <row r="30" customFormat="false" ht="15" hidden="false" customHeight="true" outlineLevel="0" collapsed="false">
      <c r="A30" s="69" t="n">
        <v>4</v>
      </c>
      <c r="B30" s="70" t="s">
        <v>114</v>
      </c>
      <c r="C30" s="69" t="n">
        <v>0.63</v>
      </c>
      <c r="D30" s="71" t="n">
        <v>-3</v>
      </c>
      <c r="E30" s="69" t="s">
        <v>475</v>
      </c>
      <c r="G30" s="69" t="n">
        <v>4</v>
      </c>
      <c r="H30" s="70" t="s">
        <v>122</v>
      </c>
      <c r="I30" s="69" t="n">
        <v>0.97</v>
      </c>
      <c r="J30" s="71" t="n">
        <v>-3</v>
      </c>
      <c r="K30" s="69" t="s">
        <v>475</v>
      </c>
    </row>
    <row r="32" customFormat="false" ht="15" hidden="false" customHeight="true" outlineLevel="0" collapsed="false">
      <c r="A32" s="4" t="s">
        <v>482</v>
      </c>
      <c r="B32" s="4"/>
      <c r="C32" s="4"/>
      <c r="D32" s="4"/>
      <c r="E32" s="4"/>
      <c r="G32" s="4" t="s">
        <v>483</v>
      </c>
      <c r="H32" s="4"/>
      <c r="I32" s="4"/>
      <c r="J32" s="4"/>
      <c r="K32" s="4"/>
    </row>
    <row r="33" customFormat="false" ht="15" hidden="false" customHeight="true" outlineLevel="0" collapsed="false">
      <c r="A33" s="62" t="s">
        <v>45</v>
      </c>
      <c r="B33" s="62" t="s">
        <v>46</v>
      </c>
      <c r="C33" s="62" t="s">
        <v>470</v>
      </c>
      <c r="D33" s="62" t="s">
        <v>471</v>
      </c>
      <c r="E33" s="62" t="s">
        <v>472</v>
      </c>
      <c r="G33" s="62" t="s">
        <v>45</v>
      </c>
      <c r="H33" s="62" t="s">
        <v>46</v>
      </c>
      <c r="I33" s="62" t="s">
        <v>470</v>
      </c>
      <c r="J33" s="62" t="s">
        <v>471</v>
      </c>
      <c r="K33" s="62" t="s">
        <v>472</v>
      </c>
    </row>
    <row r="34" customFormat="false" ht="15" hidden="false" customHeight="true" outlineLevel="0" collapsed="false">
      <c r="A34" s="63" t="n">
        <v>1</v>
      </c>
      <c r="B34" s="64" t="s">
        <v>125</v>
      </c>
      <c r="C34" s="63" t="n">
        <v>6</v>
      </c>
      <c r="D34" s="65" t="n">
        <v>2</v>
      </c>
      <c r="E34" s="63" t="s">
        <v>473</v>
      </c>
      <c r="G34" s="63" t="n">
        <v>1</v>
      </c>
      <c r="H34" s="64" t="s">
        <v>137</v>
      </c>
      <c r="I34" s="63" t="n">
        <v>6.66</v>
      </c>
      <c r="J34" s="65" t="n">
        <v>3</v>
      </c>
      <c r="K34" s="63" t="s">
        <v>473</v>
      </c>
    </row>
    <row r="35" customFormat="false" ht="15" hidden="false" customHeight="true" outlineLevel="0" collapsed="false">
      <c r="A35" s="63" t="n">
        <v>2</v>
      </c>
      <c r="B35" s="64" t="s">
        <v>128</v>
      </c>
      <c r="C35" s="63" t="n">
        <v>5.13</v>
      </c>
      <c r="D35" s="65" t="n">
        <v>1</v>
      </c>
      <c r="E35" s="63" t="s">
        <v>473</v>
      </c>
      <c r="G35" s="63" t="n">
        <v>2</v>
      </c>
      <c r="H35" s="64" t="s">
        <v>134</v>
      </c>
      <c r="I35" s="63" t="n">
        <v>5.33</v>
      </c>
      <c r="J35" s="65" t="n">
        <v>1</v>
      </c>
      <c r="K35" s="63" t="s">
        <v>473</v>
      </c>
    </row>
    <row r="36" customFormat="false" ht="15" hidden="false" customHeight="true" outlineLevel="0" collapsed="false">
      <c r="A36" s="63" t="n">
        <v>3</v>
      </c>
      <c r="B36" s="64" t="s">
        <v>130</v>
      </c>
      <c r="C36" s="63" t="n">
        <v>4.38</v>
      </c>
      <c r="D36" s="65" t="n">
        <v>1</v>
      </c>
      <c r="E36" s="63" t="s">
        <v>474</v>
      </c>
      <c r="G36" s="63" t="n">
        <v>3</v>
      </c>
      <c r="H36" s="64" t="s">
        <v>139</v>
      </c>
      <c r="I36" s="63" t="n">
        <v>3.72</v>
      </c>
      <c r="J36" s="65" t="n">
        <v>-1</v>
      </c>
      <c r="K36" s="63" t="s">
        <v>474</v>
      </c>
    </row>
    <row r="37" customFormat="false" ht="15" hidden="false" customHeight="true" outlineLevel="0" collapsed="false">
      <c r="A37" s="69" t="n">
        <v>4</v>
      </c>
      <c r="B37" s="70" t="s">
        <v>132</v>
      </c>
      <c r="C37" s="69" t="n">
        <v>0.61</v>
      </c>
      <c r="D37" s="71" t="n">
        <v>-4</v>
      </c>
      <c r="E37" s="69" t="s">
        <v>475</v>
      </c>
      <c r="G37" s="69" t="n">
        <v>4</v>
      </c>
      <c r="H37" s="70" t="s">
        <v>141</v>
      </c>
      <c r="I37" s="69" t="n">
        <v>0.69</v>
      </c>
      <c r="J37" s="71" t="n">
        <v>-3</v>
      </c>
      <c r="K37" s="69" t="s">
        <v>475</v>
      </c>
    </row>
    <row r="39" customFormat="false" ht="15" hidden="false" customHeight="true" outlineLevel="0" collapsed="false">
      <c r="A39" s="4" t="s">
        <v>484</v>
      </c>
      <c r="B39" s="4"/>
      <c r="C39" s="4"/>
      <c r="D39" s="4"/>
      <c r="E39" s="4"/>
      <c r="G39" s="4" t="s">
        <v>485</v>
      </c>
      <c r="H39" s="4"/>
      <c r="I39" s="4"/>
      <c r="J39" s="4"/>
      <c r="K39" s="4"/>
    </row>
    <row r="40" customFormat="false" ht="15" hidden="false" customHeight="true" outlineLevel="0" collapsed="false">
      <c r="A40" s="62" t="s">
        <v>45</v>
      </c>
      <c r="B40" s="62" t="s">
        <v>46</v>
      </c>
      <c r="C40" s="62" t="s">
        <v>470</v>
      </c>
      <c r="D40" s="62" t="s">
        <v>471</v>
      </c>
      <c r="E40" s="62" t="s">
        <v>472</v>
      </c>
      <c r="G40" s="62" t="s">
        <v>45</v>
      </c>
      <c r="H40" s="62" t="s">
        <v>46</v>
      </c>
      <c r="I40" s="62" t="s">
        <v>470</v>
      </c>
      <c r="J40" s="62" t="s">
        <v>471</v>
      </c>
      <c r="K40" s="62" t="s">
        <v>472</v>
      </c>
    </row>
    <row r="41" customFormat="false" ht="15" hidden="false" customHeight="true" outlineLevel="0" collapsed="false">
      <c r="A41" s="63" t="n">
        <v>1</v>
      </c>
      <c r="B41" s="64" t="s">
        <v>142</v>
      </c>
      <c r="C41" s="63" t="n">
        <v>6.82</v>
      </c>
      <c r="D41" s="65" t="n">
        <v>3</v>
      </c>
      <c r="E41" s="63" t="s">
        <v>473</v>
      </c>
      <c r="G41" s="63" t="n">
        <v>1</v>
      </c>
      <c r="H41" s="64" t="s">
        <v>149</v>
      </c>
      <c r="I41" s="63" t="n">
        <v>6.8</v>
      </c>
      <c r="J41" s="65" t="n">
        <v>3</v>
      </c>
      <c r="K41" s="63" t="s">
        <v>473</v>
      </c>
    </row>
    <row r="42" customFormat="false" ht="15" hidden="false" customHeight="true" outlineLevel="0" collapsed="false">
      <c r="A42" s="63" t="n">
        <v>2</v>
      </c>
      <c r="B42" s="64" t="s">
        <v>145</v>
      </c>
      <c r="C42" s="63" t="n">
        <v>4.68</v>
      </c>
      <c r="D42" s="65" t="n">
        <v>1</v>
      </c>
      <c r="E42" s="63" t="s">
        <v>473</v>
      </c>
      <c r="G42" s="63" t="n">
        <v>2</v>
      </c>
      <c r="H42" s="64" t="s">
        <v>152</v>
      </c>
      <c r="I42" s="63" t="n">
        <v>3.98</v>
      </c>
      <c r="J42" s="65" t="n">
        <v>0</v>
      </c>
      <c r="K42" s="63" t="s">
        <v>473</v>
      </c>
    </row>
    <row r="43" customFormat="false" ht="15" hidden="false" customHeight="true" outlineLevel="0" collapsed="false">
      <c r="A43" s="66" t="n">
        <v>3</v>
      </c>
      <c r="B43" s="67" t="s">
        <v>148</v>
      </c>
      <c r="C43" s="66" t="n">
        <v>2.6</v>
      </c>
      <c r="D43" s="68" t="n">
        <v>-2</v>
      </c>
      <c r="E43" s="66" t="s">
        <v>475</v>
      </c>
      <c r="G43" s="66" t="n">
        <v>3</v>
      </c>
      <c r="H43" s="67" t="s">
        <v>156</v>
      </c>
      <c r="I43" s="66" t="n">
        <v>3.65</v>
      </c>
      <c r="J43" s="68" t="n">
        <v>0</v>
      </c>
      <c r="K43" s="66" t="s">
        <v>474</v>
      </c>
    </row>
    <row r="44" customFormat="false" ht="15" hidden="false" customHeight="true" outlineLevel="0" collapsed="false">
      <c r="A44" s="69" t="n">
        <v>4</v>
      </c>
      <c r="B44" s="70" t="s">
        <v>147</v>
      </c>
      <c r="C44" s="69" t="n">
        <v>1.95</v>
      </c>
      <c r="D44" s="71" t="n">
        <v>-2</v>
      </c>
      <c r="E44" s="69" t="s">
        <v>475</v>
      </c>
      <c r="G44" s="69" t="n">
        <v>4</v>
      </c>
      <c r="H44" s="70" t="s">
        <v>154</v>
      </c>
      <c r="I44" s="69" t="n">
        <v>1.56</v>
      </c>
      <c r="J44" s="71" t="n">
        <v>-3</v>
      </c>
      <c r="K44" s="69" t="s">
        <v>475</v>
      </c>
    </row>
    <row r="47" customFormat="false" ht="15" hidden="false" customHeight="true" outlineLevel="0" collapsed="false">
      <c r="A47" s="72" t="s">
        <v>486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</row>
    <row r="48" customFormat="false" ht="15" hidden="false" customHeight="true" outlineLevel="0" collapsed="false">
      <c r="A48" s="62" t="s">
        <v>487</v>
      </c>
      <c r="B48" s="62" t="s">
        <v>48</v>
      </c>
      <c r="C48" s="62" t="s">
        <v>46</v>
      </c>
      <c r="D48" s="62" t="s">
        <v>470</v>
      </c>
      <c r="E48" s="62" t="s">
        <v>471</v>
      </c>
    </row>
    <row r="49" customFormat="false" ht="15" hidden="false" customHeight="true" outlineLevel="0" collapsed="false">
      <c r="A49" s="63" t="n">
        <v>1</v>
      </c>
      <c r="B49" s="63" t="s">
        <v>110</v>
      </c>
      <c r="C49" s="64" t="s">
        <v>113</v>
      </c>
      <c r="D49" s="63" t="n">
        <v>3.95</v>
      </c>
      <c r="E49" s="65" t="n">
        <v>0</v>
      </c>
    </row>
    <row r="50" customFormat="false" ht="15" hidden="false" customHeight="true" outlineLevel="0" collapsed="false">
      <c r="A50" s="63" t="n">
        <v>2</v>
      </c>
      <c r="B50" s="63" t="s">
        <v>126</v>
      </c>
      <c r="C50" s="64" t="s">
        <v>130</v>
      </c>
      <c r="D50" s="63" t="n">
        <v>3.91</v>
      </c>
      <c r="E50" s="65" t="n">
        <v>0</v>
      </c>
    </row>
    <row r="51" customFormat="false" ht="15" hidden="false" customHeight="true" outlineLevel="0" collapsed="false">
      <c r="A51" s="63" t="n">
        <v>3</v>
      </c>
      <c r="B51" s="63" t="s">
        <v>94</v>
      </c>
      <c r="C51" s="64" t="s">
        <v>98</v>
      </c>
      <c r="D51" s="63" t="n">
        <v>3.9</v>
      </c>
      <c r="E51" s="65" t="n">
        <v>0</v>
      </c>
    </row>
    <row r="52" customFormat="false" ht="15" hidden="false" customHeight="true" outlineLevel="0" collapsed="false">
      <c r="A52" s="63" t="n">
        <v>4</v>
      </c>
      <c r="B52" s="63" t="s">
        <v>85</v>
      </c>
      <c r="C52" s="64" t="s">
        <v>89</v>
      </c>
      <c r="D52" s="63" t="n">
        <v>3.39</v>
      </c>
      <c r="E52" s="65" t="n">
        <v>-1</v>
      </c>
    </row>
    <row r="53" customFormat="false" ht="15" hidden="false" customHeight="true" outlineLevel="0" collapsed="false">
      <c r="A53" s="63" t="n">
        <v>5</v>
      </c>
      <c r="B53" s="63" t="s">
        <v>135</v>
      </c>
      <c r="C53" s="64" t="s">
        <v>139</v>
      </c>
      <c r="D53" s="63" t="n">
        <v>3.35</v>
      </c>
      <c r="E53" s="65" t="n">
        <v>-1</v>
      </c>
    </row>
    <row r="54" customFormat="false" ht="15" hidden="false" customHeight="true" outlineLevel="0" collapsed="false">
      <c r="A54" s="63" t="n">
        <v>6</v>
      </c>
      <c r="B54" s="63" t="s">
        <v>55</v>
      </c>
      <c r="C54" s="64" t="s">
        <v>63</v>
      </c>
      <c r="D54" s="63" t="n">
        <v>3.29</v>
      </c>
      <c r="E54" s="65" t="n">
        <v>-1</v>
      </c>
    </row>
    <row r="55" customFormat="false" ht="15" hidden="false" customHeight="true" outlineLevel="0" collapsed="false">
      <c r="A55" s="63" t="n">
        <v>7</v>
      </c>
      <c r="B55" s="63" t="s">
        <v>77</v>
      </c>
      <c r="C55" s="64" t="s">
        <v>81</v>
      </c>
      <c r="D55" s="63" t="n">
        <v>3.06</v>
      </c>
      <c r="E55" s="65" t="n">
        <v>-1</v>
      </c>
    </row>
    <row r="56" customFormat="false" ht="15" hidden="false" customHeight="true" outlineLevel="0" collapsed="false">
      <c r="A56" s="63" t="n">
        <v>8</v>
      </c>
      <c r="B56" s="63" t="s">
        <v>102</v>
      </c>
      <c r="C56" s="64" t="s">
        <v>107</v>
      </c>
      <c r="D56" s="63" t="n">
        <v>2.7</v>
      </c>
      <c r="E56" s="65" t="n">
        <v>-1</v>
      </c>
    </row>
  </sheetData>
  <mergeCells count="15">
    <mergeCell ref="A1:K1"/>
    <mergeCell ref="A2:K2"/>
    <mergeCell ref="A4:E4"/>
    <mergeCell ref="G4:K4"/>
    <mergeCell ref="A11:E11"/>
    <mergeCell ref="G11:K11"/>
    <mergeCell ref="A18:E18"/>
    <mergeCell ref="G18:K18"/>
    <mergeCell ref="A25:E25"/>
    <mergeCell ref="G25:K25"/>
    <mergeCell ref="A32:E32"/>
    <mergeCell ref="G32:K32"/>
    <mergeCell ref="A39:E39"/>
    <mergeCell ref="G39:K39"/>
    <mergeCell ref="A47:K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7" min="6" style="0" width="3"/>
    <col collapsed="false" customWidth="true" hidden="false" outlineLevel="0" max="8" min="8" style="0" width="22"/>
    <col collapsed="false" customWidth="true" hidden="false" outlineLevel="0" max="11" min="9" style="0" width="11"/>
  </cols>
  <sheetData>
    <row r="1" customFormat="false" ht="27.75" hidden="false" customHeight="true" outlineLevel="0" collapsed="false">
      <c r="A1" s="19" t="s">
        <v>488</v>
      </c>
      <c r="B1" s="19"/>
      <c r="C1" s="19"/>
      <c r="D1" s="19"/>
      <c r="E1" s="19"/>
      <c r="F1" s="19"/>
      <c r="G1" s="19"/>
      <c r="H1" s="19"/>
    </row>
    <row r="2" customFormat="false" ht="15" hidden="false" customHeight="false" outlineLevel="0" collapsed="false">
      <c r="A2" s="61" t="s">
        <v>489</v>
      </c>
      <c r="B2" s="61"/>
      <c r="C2" s="61"/>
      <c r="D2" s="61"/>
      <c r="E2" s="61"/>
      <c r="F2" s="61"/>
      <c r="G2" s="61"/>
      <c r="H2" s="61"/>
    </row>
    <row r="4" customFormat="false" ht="25.5" hidden="false" customHeight="true" outlineLevel="0" collapsed="false">
      <c r="A4" s="73" t="s">
        <v>490</v>
      </c>
      <c r="B4" s="73"/>
      <c r="C4" s="73"/>
      <c r="D4" s="73"/>
      <c r="E4" s="73"/>
      <c r="F4" s="73"/>
    </row>
    <row r="6" customFormat="false" ht="15" hidden="false" customHeight="false" outlineLevel="0" collapsed="false">
      <c r="A6" s="74" t="s">
        <v>491</v>
      </c>
      <c r="B6" s="74"/>
      <c r="C6" s="74"/>
      <c r="D6" s="74"/>
      <c r="E6" s="74"/>
      <c r="F6" s="74"/>
      <c r="H6" s="75" t="s">
        <v>492</v>
      </c>
      <c r="I6" s="75"/>
      <c r="J6" s="75"/>
      <c r="K6" s="75"/>
    </row>
    <row r="7" customFormat="false" ht="15" hidden="false" customHeight="false" outlineLevel="0" collapsed="false">
      <c r="A7" s="76" t="s">
        <v>493</v>
      </c>
      <c r="B7" s="76" t="s">
        <v>494</v>
      </c>
      <c r="C7" s="76" t="s">
        <v>495</v>
      </c>
      <c r="D7" s="76" t="s">
        <v>496</v>
      </c>
      <c r="E7" s="76" t="s">
        <v>497</v>
      </c>
      <c r="H7" s="76" t="s">
        <v>46</v>
      </c>
      <c r="I7" s="76" t="s">
        <v>498</v>
      </c>
      <c r="J7" s="76" t="s">
        <v>499</v>
      </c>
      <c r="K7" s="76" t="s">
        <v>500</v>
      </c>
    </row>
    <row r="8" customFormat="false" ht="15" hidden="false" customHeight="false" outlineLevel="0" collapsed="false">
      <c r="A8" s="77" t="s">
        <v>501</v>
      </c>
      <c r="B8" s="78" t="s">
        <v>53</v>
      </c>
      <c r="C8" s="64" t="s">
        <v>73</v>
      </c>
      <c r="D8" s="77" t="s">
        <v>502</v>
      </c>
      <c r="E8" s="64" t="s">
        <v>73</v>
      </c>
      <c r="H8" s="79" t="s">
        <v>137</v>
      </c>
      <c r="I8" s="80" t="n">
        <v>0.24365</v>
      </c>
      <c r="J8" s="80" t="n">
        <v>0.4112</v>
      </c>
      <c r="K8" s="80" t="n">
        <v>0.55495</v>
      </c>
    </row>
    <row r="9" customFormat="false" ht="15" hidden="false" customHeight="false" outlineLevel="0" collapsed="false">
      <c r="A9" s="77" t="s">
        <v>503</v>
      </c>
      <c r="B9" s="64" t="s">
        <v>98</v>
      </c>
      <c r="C9" s="78" t="s">
        <v>63</v>
      </c>
      <c r="D9" s="77" t="s">
        <v>504</v>
      </c>
      <c r="E9" s="64" t="s">
        <v>98</v>
      </c>
      <c r="H9" s="79" t="s">
        <v>125</v>
      </c>
      <c r="I9" s="80" t="n">
        <v>0.20505</v>
      </c>
      <c r="J9" s="80" t="n">
        <v>0.34595</v>
      </c>
      <c r="K9" s="80" t="n">
        <v>0.5902</v>
      </c>
    </row>
    <row r="10" customFormat="false" ht="15" hidden="false" customHeight="false" outlineLevel="0" collapsed="false">
      <c r="A10" s="77" t="s">
        <v>505</v>
      </c>
      <c r="B10" s="64" t="s">
        <v>101</v>
      </c>
      <c r="C10" s="78" t="s">
        <v>79</v>
      </c>
      <c r="D10" s="77" t="s">
        <v>506</v>
      </c>
      <c r="E10" s="64" t="s">
        <v>101</v>
      </c>
      <c r="H10" s="79" t="s">
        <v>117</v>
      </c>
      <c r="I10" s="80" t="n">
        <v>0.1991</v>
      </c>
      <c r="J10" s="80" t="n">
        <v>0.31395</v>
      </c>
      <c r="K10" s="80" t="n">
        <v>0.47665</v>
      </c>
    </row>
    <row r="11" customFormat="false" ht="15" hidden="false" customHeight="false" outlineLevel="0" collapsed="false">
      <c r="A11" s="77" t="s">
        <v>507</v>
      </c>
      <c r="B11" s="64" t="s">
        <v>75</v>
      </c>
      <c r="C11" s="78" t="s">
        <v>104</v>
      </c>
      <c r="D11" s="77" t="s">
        <v>502</v>
      </c>
      <c r="E11" s="64" t="s">
        <v>75</v>
      </c>
      <c r="H11" s="79" t="s">
        <v>69</v>
      </c>
      <c r="I11" s="80" t="n">
        <v>0.07065</v>
      </c>
      <c r="J11" s="80" t="n">
        <v>0.1578</v>
      </c>
      <c r="K11" s="80" t="n">
        <v>0.26095</v>
      </c>
    </row>
    <row r="12" customFormat="false" ht="15" hidden="false" customHeight="false" outlineLevel="0" collapsed="false">
      <c r="A12" s="77" t="s">
        <v>508</v>
      </c>
      <c r="B12" s="64" t="s">
        <v>125</v>
      </c>
      <c r="C12" s="78" t="s">
        <v>81</v>
      </c>
      <c r="D12" s="77" t="s">
        <v>506</v>
      </c>
      <c r="E12" s="64" t="s">
        <v>125</v>
      </c>
      <c r="H12" s="79" t="s">
        <v>128</v>
      </c>
      <c r="I12" s="80" t="n">
        <v>0.0577</v>
      </c>
      <c r="J12" s="80" t="n">
        <v>0.1301</v>
      </c>
      <c r="K12" s="80" t="n">
        <v>0.29795</v>
      </c>
    </row>
    <row r="13" customFormat="false" ht="15" hidden="false" customHeight="false" outlineLevel="0" collapsed="false">
      <c r="A13" s="77" t="s">
        <v>509</v>
      </c>
      <c r="B13" s="78" t="s">
        <v>93</v>
      </c>
      <c r="C13" s="64" t="s">
        <v>128</v>
      </c>
      <c r="D13" s="77" t="s">
        <v>502</v>
      </c>
      <c r="E13" s="64" t="s">
        <v>128</v>
      </c>
      <c r="H13" s="79" t="s">
        <v>149</v>
      </c>
      <c r="I13" s="80" t="n">
        <v>0.0516</v>
      </c>
      <c r="J13" s="80" t="n">
        <v>0.1366</v>
      </c>
      <c r="K13" s="80" t="n">
        <v>0.35255</v>
      </c>
    </row>
    <row r="14" customFormat="false" ht="15" hidden="false" customHeight="false" outlineLevel="0" collapsed="false">
      <c r="A14" s="77" t="s">
        <v>510</v>
      </c>
      <c r="B14" s="64" t="s">
        <v>57</v>
      </c>
      <c r="C14" s="78" t="s">
        <v>106</v>
      </c>
      <c r="D14" s="77" t="s">
        <v>504</v>
      </c>
      <c r="E14" s="64" t="s">
        <v>57</v>
      </c>
      <c r="H14" s="79" t="s">
        <v>113</v>
      </c>
      <c r="I14" s="80" t="n">
        <v>0.0398</v>
      </c>
      <c r="J14" s="80" t="n">
        <v>0.0967</v>
      </c>
      <c r="K14" s="80" t="n">
        <v>0.20415</v>
      </c>
    </row>
    <row r="15" customFormat="false" ht="15" hidden="false" customHeight="false" outlineLevel="0" collapsed="false">
      <c r="A15" s="77" t="s">
        <v>511</v>
      </c>
      <c r="B15" s="64" t="s">
        <v>149</v>
      </c>
      <c r="C15" s="78" t="s">
        <v>96</v>
      </c>
      <c r="D15" s="77" t="s">
        <v>512</v>
      </c>
      <c r="E15" s="64" t="s">
        <v>149</v>
      </c>
      <c r="H15" s="79" t="s">
        <v>101</v>
      </c>
      <c r="I15" s="80" t="n">
        <v>0.0353</v>
      </c>
      <c r="J15" s="80" t="n">
        <v>0.0947</v>
      </c>
      <c r="K15" s="80" t="n">
        <v>0.2486</v>
      </c>
    </row>
    <row r="16" customFormat="false" ht="15" hidden="false" customHeight="false" outlineLevel="0" collapsed="false">
      <c r="A16" s="77" t="s">
        <v>513</v>
      </c>
      <c r="B16" s="78" t="s">
        <v>91</v>
      </c>
      <c r="C16" s="64" t="s">
        <v>130</v>
      </c>
      <c r="D16" s="77" t="s">
        <v>514</v>
      </c>
      <c r="E16" s="64" t="s">
        <v>130</v>
      </c>
      <c r="H16" s="79" t="s">
        <v>134</v>
      </c>
      <c r="I16" s="80" t="n">
        <v>0.02615</v>
      </c>
      <c r="J16" s="80" t="n">
        <v>0.06005</v>
      </c>
      <c r="K16" s="80" t="n">
        <v>0.1316</v>
      </c>
    </row>
    <row r="17" customFormat="false" ht="15" hidden="false" customHeight="false" outlineLevel="0" collapsed="false">
      <c r="A17" s="77" t="s">
        <v>515</v>
      </c>
      <c r="B17" s="64" t="s">
        <v>113</v>
      </c>
      <c r="C17" s="78" t="s">
        <v>139</v>
      </c>
      <c r="D17" s="77" t="s">
        <v>506</v>
      </c>
      <c r="E17" s="64" t="s">
        <v>113</v>
      </c>
      <c r="H17" s="79" t="s">
        <v>142</v>
      </c>
      <c r="I17" s="80" t="n">
        <v>0.01965</v>
      </c>
      <c r="J17" s="80" t="n">
        <v>0.05805</v>
      </c>
      <c r="K17" s="80" t="n">
        <v>0.1202</v>
      </c>
    </row>
    <row r="18" customFormat="false" ht="15" hidden="false" customHeight="false" outlineLevel="0" collapsed="false">
      <c r="A18" s="77" t="s">
        <v>516</v>
      </c>
      <c r="B18" s="64" t="s">
        <v>145</v>
      </c>
      <c r="C18" s="78" t="s">
        <v>152</v>
      </c>
      <c r="D18" s="77" t="s">
        <v>517</v>
      </c>
      <c r="E18" s="64" t="s">
        <v>145</v>
      </c>
      <c r="H18" s="79" t="s">
        <v>130</v>
      </c>
      <c r="I18" s="80" t="n">
        <v>0.0162</v>
      </c>
      <c r="J18" s="80" t="n">
        <v>0.0429</v>
      </c>
      <c r="K18" s="80" t="n">
        <v>0.11305</v>
      </c>
    </row>
    <row r="19" customFormat="false" ht="15" hidden="false" customHeight="false" outlineLevel="0" collapsed="false">
      <c r="A19" s="77" t="s">
        <v>518</v>
      </c>
      <c r="B19" s="64" t="s">
        <v>117</v>
      </c>
      <c r="C19" s="78" t="s">
        <v>134</v>
      </c>
      <c r="D19" s="77" t="s">
        <v>506</v>
      </c>
      <c r="E19" s="64" t="s">
        <v>117</v>
      </c>
      <c r="H19" s="79" t="s">
        <v>93</v>
      </c>
      <c r="I19" s="80" t="n">
        <v>0.00955</v>
      </c>
      <c r="J19" s="80" t="n">
        <v>0.0305</v>
      </c>
      <c r="K19" s="80" t="n">
        <v>0.10175</v>
      </c>
    </row>
    <row r="20" customFormat="false" ht="15" hidden="false" customHeight="false" outlineLevel="0" collapsed="false">
      <c r="A20" s="77" t="s">
        <v>519</v>
      </c>
      <c r="B20" s="64" t="s">
        <v>69</v>
      </c>
      <c r="C20" s="78" t="s">
        <v>112</v>
      </c>
      <c r="D20" s="77" t="s">
        <v>506</v>
      </c>
      <c r="E20" s="64" t="s">
        <v>69</v>
      </c>
      <c r="H20" s="79" t="s">
        <v>75</v>
      </c>
      <c r="I20" s="80" t="n">
        <v>0.00655</v>
      </c>
      <c r="J20" s="80" t="n">
        <v>0.02565</v>
      </c>
      <c r="K20" s="80" t="n">
        <v>0.0888</v>
      </c>
    </row>
    <row r="21" customFormat="false" ht="15" hidden="false" customHeight="false" outlineLevel="0" collapsed="false">
      <c r="A21" s="77" t="s">
        <v>520</v>
      </c>
      <c r="B21" s="64" t="s">
        <v>137</v>
      </c>
      <c r="C21" s="78" t="s">
        <v>120</v>
      </c>
      <c r="D21" s="77" t="s">
        <v>512</v>
      </c>
      <c r="E21" s="64" t="s">
        <v>137</v>
      </c>
      <c r="H21" s="79" t="s">
        <v>104</v>
      </c>
      <c r="I21" s="80" t="n">
        <v>0.00515</v>
      </c>
      <c r="J21" s="80" t="n">
        <v>0.0209</v>
      </c>
      <c r="K21" s="80" t="n">
        <v>0.07835</v>
      </c>
    </row>
    <row r="22" customFormat="false" ht="15" hidden="false" customHeight="false" outlineLevel="0" collapsed="false">
      <c r="A22" s="77" t="s">
        <v>521</v>
      </c>
      <c r="B22" s="64" t="s">
        <v>142</v>
      </c>
      <c r="C22" s="78" t="s">
        <v>156</v>
      </c>
      <c r="D22" s="77" t="s">
        <v>506</v>
      </c>
      <c r="E22" s="64" t="s">
        <v>142</v>
      </c>
    </row>
    <row r="23" customFormat="false" ht="15" hidden="false" customHeight="false" outlineLevel="0" collapsed="false">
      <c r="A23" s="77" t="s">
        <v>522</v>
      </c>
      <c r="B23" s="78" t="s">
        <v>89</v>
      </c>
      <c r="C23" s="64" t="s">
        <v>109</v>
      </c>
      <c r="D23" s="77" t="s">
        <v>502</v>
      </c>
      <c r="E23" s="64" t="s">
        <v>109</v>
      </c>
    </row>
    <row r="25" customFormat="false" ht="15" hidden="false" customHeight="false" outlineLevel="0" collapsed="false">
      <c r="A25" s="74" t="s">
        <v>523</v>
      </c>
      <c r="B25" s="74"/>
      <c r="C25" s="74"/>
      <c r="D25" s="74"/>
      <c r="E25" s="74"/>
      <c r="F25" s="74"/>
    </row>
    <row r="26" customFormat="false" ht="15" hidden="false" customHeight="false" outlineLevel="0" collapsed="false">
      <c r="A26" s="76" t="s">
        <v>493</v>
      </c>
      <c r="B26" s="76" t="s">
        <v>494</v>
      </c>
      <c r="C26" s="76" t="s">
        <v>495</v>
      </c>
      <c r="D26" s="76" t="s">
        <v>496</v>
      </c>
      <c r="E26" s="76" t="s">
        <v>497</v>
      </c>
    </row>
    <row r="27" customFormat="false" ht="15" hidden="false" customHeight="false" outlineLevel="0" collapsed="false">
      <c r="A27" s="77" t="s">
        <v>524</v>
      </c>
      <c r="B27" s="78" t="s">
        <v>98</v>
      </c>
      <c r="C27" s="64" t="s">
        <v>125</v>
      </c>
      <c r="D27" s="77" t="s">
        <v>502</v>
      </c>
      <c r="E27" s="64" t="s">
        <v>125</v>
      </c>
    </row>
    <row r="28" customFormat="false" ht="15" hidden="false" customHeight="false" outlineLevel="0" collapsed="false">
      <c r="A28" s="77" t="s">
        <v>525</v>
      </c>
      <c r="B28" s="78" t="s">
        <v>73</v>
      </c>
      <c r="C28" s="64" t="s">
        <v>101</v>
      </c>
      <c r="D28" s="77" t="s">
        <v>502</v>
      </c>
      <c r="E28" s="64" t="s">
        <v>101</v>
      </c>
    </row>
    <row r="29" customFormat="false" ht="15" hidden="false" customHeight="false" outlineLevel="0" collapsed="false">
      <c r="A29" s="77" t="s">
        <v>526</v>
      </c>
      <c r="B29" s="78" t="s">
        <v>75</v>
      </c>
      <c r="C29" s="64" t="s">
        <v>128</v>
      </c>
      <c r="D29" s="77" t="s">
        <v>502</v>
      </c>
      <c r="E29" s="64" t="s">
        <v>128</v>
      </c>
    </row>
    <row r="30" customFormat="false" ht="15" hidden="false" customHeight="false" outlineLevel="0" collapsed="false">
      <c r="A30" s="77" t="s">
        <v>527</v>
      </c>
      <c r="B30" s="78" t="s">
        <v>57</v>
      </c>
      <c r="C30" s="64" t="s">
        <v>149</v>
      </c>
      <c r="D30" s="77" t="s">
        <v>502</v>
      </c>
      <c r="E30" s="64" t="s">
        <v>149</v>
      </c>
    </row>
    <row r="31" customFormat="false" ht="15" hidden="false" customHeight="false" outlineLevel="0" collapsed="false">
      <c r="A31" s="77" t="s">
        <v>528</v>
      </c>
      <c r="B31" s="78" t="s">
        <v>145</v>
      </c>
      <c r="C31" s="64" t="s">
        <v>117</v>
      </c>
      <c r="D31" s="77" t="s">
        <v>502</v>
      </c>
      <c r="E31" s="64" t="s">
        <v>117</v>
      </c>
    </row>
    <row r="32" customFormat="false" ht="15" hidden="false" customHeight="false" outlineLevel="0" collapsed="false">
      <c r="A32" s="77" t="s">
        <v>529</v>
      </c>
      <c r="B32" s="78" t="s">
        <v>130</v>
      </c>
      <c r="C32" s="64" t="s">
        <v>113</v>
      </c>
      <c r="D32" s="77" t="s">
        <v>530</v>
      </c>
      <c r="E32" s="64" t="s">
        <v>113</v>
      </c>
    </row>
    <row r="33" customFormat="false" ht="15" hidden="false" customHeight="false" outlineLevel="0" collapsed="false">
      <c r="A33" s="77" t="s">
        <v>531</v>
      </c>
      <c r="B33" s="64" t="s">
        <v>137</v>
      </c>
      <c r="C33" s="78" t="s">
        <v>109</v>
      </c>
      <c r="D33" s="77" t="s">
        <v>506</v>
      </c>
      <c r="E33" s="64" t="s">
        <v>137</v>
      </c>
    </row>
    <row r="34" customFormat="false" ht="15" hidden="false" customHeight="false" outlineLevel="0" collapsed="false">
      <c r="A34" s="77" t="s">
        <v>532</v>
      </c>
      <c r="B34" s="64" t="s">
        <v>69</v>
      </c>
      <c r="C34" s="78" t="s">
        <v>142</v>
      </c>
      <c r="D34" s="77" t="s">
        <v>506</v>
      </c>
      <c r="E34" s="64" t="s">
        <v>69</v>
      </c>
    </row>
    <row r="36" customFormat="false" ht="15" hidden="false" customHeight="false" outlineLevel="0" collapsed="false">
      <c r="A36" s="74" t="s">
        <v>533</v>
      </c>
      <c r="B36" s="74"/>
      <c r="C36" s="74"/>
      <c r="D36" s="74"/>
      <c r="E36" s="74"/>
      <c r="F36" s="74"/>
    </row>
    <row r="37" customFormat="false" ht="15" hidden="false" customHeight="false" outlineLevel="0" collapsed="false">
      <c r="A37" s="76" t="s">
        <v>493</v>
      </c>
      <c r="B37" s="76" t="s">
        <v>494</v>
      </c>
      <c r="C37" s="76" t="s">
        <v>495</v>
      </c>
      <c r="D37" s="76" t="s">
        <v>496</v>
      </c>
      <c r="E37" s="76" t="s">
        <v>497</v>
      </c>
    </row>
    <row r="38" customFormat="false" ht="15" hidden="false" customHeight="false" outlineLevel="0" collapsed="false">
      <c r="A38" s="77" t="s">
        <v>534</v>
      </c>
      <c r="B38" s="64" t="s">
        <v>125</v>
      </c>
      <c r="C38" s="78" t="s">
        <v>101</v>
      </c>
      <c r="D38" s="77" t="s">
        <v>506</v>
      </c>
      <c r="E38" s="64" t="s">
        <v>125</v>
      </c>
    </row>
    <row r="39" customFormat="false" ht="15" hidden="false" customHeight="false" outlineLevel="0" collapsed="false">
      <c r="A39" s="77" t="s">
        <v>535</v>
      </c>
      <c r="B39" s="64" t="s">
        <v>117</v>
      </c>
      <c r="C39" s="78" t="s">
        <v>113</v>
      </c>
      <c r="D39" s="77" t="s">
        <v>506</v>
      </c>
      <c r="E39" s="64" t="s">
        <v>117</v>
      </c>
    </row>
    <row r="40" customFormat="false" ht="15" hidden="false" customHeight="false" outlineLevel="0" collapsed="false">
      <c r="A40" s="77" t="s">
        <v>536</v>
      </c>
      <c r="B40" s="64" t="s">
        <v>128</v>
      </c>
      <c r="C40" s="78" t="s">
        <v>149</v>
      </c>
      <c r="D40" s="77" t="s">
        <v>506</v>
      </c>
      <c r="E40" s="64" t="s">
        <v>128</v>
      </c>
    </row>
    <row r="41" customFormat="false" ht="15" hidden="false" customHeight="false" outlineLevel="0" collapsed="false">
      <c r="A41" s="77" t="s">
        <v>537</v>
      </c>
      <c r="B41" s="64" t="s">
        <v>137</v>
      </c>
      <c r="C41" s="78" t="s">
        <v>69</v>
      </c>
      <c r="D41" s="77" t="s">
        <v>506</v>
      </c>
      <c r="E41" s="64" t="s">
        <v>137</v>
      </c>
    </row>
    <row r="43" customFormat="false" ht="15" hidden="false" customHeight="false" outlineLevel="0" collapsed="false">
      <c r="A43" s="74" t="s">
        <v>538</v>
      </c>
      <c r="B43" s="74"/>
      <c r="C43" s="74"/>
      <c r="D43" s="74"/>
      <c r="E43" s="74"/>
      <c r="F43" s="74"/>
    </row>
    <row r="44" customFormat="false" ht="15" hidden="false" customHeight="false" outlineLevel="0" collapsed="false">
      <c r="A44" s="76" t="s">
        <v>493</v>
      </c>
      <c r="B44" s="76" t="s">
        <v>494</v>
      </c>
      <c r="C44" s="76" t="s">
        <v>495</v>
      </c>
      <c r="D44" s="76" t="s">
        <v>496</v>
      </c>
      <c r="E44" s="76" t="s">
        <v>497</v>
      </c>
    </row>
    <row r="45" customFormat="false" ht="15" hidden="false" customHeight="false" outlineLevel="0" collapsed="false">
      <c r="A45" s="77" t="s">
        <v>539</v>
      </c>
      <c r="B45" s="78" t="s">
        <v>125</v>
      </c>
      <c r="C45" s="64" t="s">
        <v>117</v>
      </c>
      <c r="D45" s="77" t="s">
        <v>530</v>
      </c>
      <c r="E45" s="64" t="s">
        <v>117</v>
      </c>
    </row>
    <row r="46" customFormat="false" ht="15" hidden="false" customHeight="false" outlineLevel="0" collapsed="false">
      <c r="A46" s="77" t="s">
        <v>540</v>
      </c>
      <c r="B46" s="78" t="s">
        <v>128</v>
      </c>
      <c r="C46" s="64" t="s">
        <v>137</v>
      </c>
      <c r="D46" s="77" t="s">
        <v>502</v>
      </c>
      <c r="E46" s="64" t="s">
        <v>137</v>
      </c>
    </row>
    <row r="48" customFormat="false" ht="15" hidden="false" customHeight="false" outlineLevel="0" collapsed="false">
      <c r="A48" s="74" t="s">
        <v>541</v>
      </c>
      <c r="B48" s="74"/>
      <c r="C48" s="74"/>
      <c r="D48" s="74"/>
      <c r="E48" s="74"/>
      <c r="F48" s="74"/>
    </row>
    <row r="49" customFormat="false" ht="15" hidden="false" customHeight="false" outlineLevel="0" collapsed="false">
      <c r="A49" s="76" t="s">
        <v>493</v>
      </c>
      <c r="B49" s="76" t="s">
        <v>494</v>
      </c>
      <c r="C49" s="76" t="s">
        <v>495</v>
      </c>
      <c r="D49" s="76" t="s">
        <v>496</v>
      </c>
      <c r="E49" s="76" t="s">
        <v>497</v>
      </c>
    </row>
    <row r="50" customFormat="false" ht="15" hidden="false" customHeight="false" outlineLevel="0" collapsed="false">
      <c r="A50" s="77" t="s">
        <v>102</v>
      </c>
      <c r="B50" s="78" t="s">
        <v>117</v>
      </c>
      <c r="C50" s="78" t="s">
        <v>137</v>
      </c>
      <c r="D50" s="77" t="s">
        <v>504</v>
      </c>
      <c r="E50" s="64"/>
    </row>
  </sheetData>
  <mergeCells count="9">
    <mergeCell ref="A1:H1"/>
    <mergeCell ref="A2:H2"/>
    <mergeCell ref="A4:F4"/>
    <mergeCell ref="A6:F6"/>
    <mergeCell ref="H6:K6"/>
    <mergeCell ref="A25:F25"/>
    <mergeCell ref="A36:F36"/>
    <mergeCell ref="A43:F43"/>
    <mergeCell ref="A48:F48"/>
  </mergeCells>
  <conditionalFormatting sqref="I8:I21">
    <cfRule type="dataBar" priority="2">
      <dataBar showValue="1" minLength="10" maxLength="90">
        <cfvo type="num" val="0"/>
        <cfvo type="num" val="0.5"/>
        <color rgb="FFC9A227"/>
      </dataBar>
      <extLst>
        <ext xmlns:x14="http://schemas.microsoft.com/office/spreadsheetml/2009/9/main" uri="{B025F937-C7B1-47D3-B67F-A62EFF666E3E}">
          <x14:id>{768A40D7-898B-445F-84E2-99606F7BD3F8}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8A40D7-898B-445F-84E2-99606F7BD3F8}">
            <x14:dataBar minLength="10" maxLength="90" axisPosition="none" gradient="true">
              <x14:cfvo type="num">
                <xm:f>0</xm:f>
              </x14:cfvo>
              <x14:cfvo type="num">
                <xm:f>0.5</xm:f>
              </x14:cfvo>
              <x14:negativeFillColor rgb="FFC9A227"/>
              <x14:axisColor rgb="FF000000"/>
            </x14:dataBar>
          </x14:cfRule>
          <xm:sqref>I8:I21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12"/>
    <col collapsed="false" customWidth="true" hidden="false" outlineLevel="0" max="5" min="4" style="1" width="22"/>
    <col collapsed="false" customWidth="true" hidden="false" outlineLevel="0" max="7" min="6" style="1" width="9"/>
    <col collapsed="false" customWidth="true" hidden="false" outlineLevel="0" max="8" min="8" style="1" width="8"/>
    <col collapsed="false" customWidth="true" hidden="false" outlineLevel="0" max="11" min="9" style="1" width="9"/>
    <col collapsed="false" customWidth="true" hidden="false" outlineLevel="0" max="12" min="12" style="1" width="14"/>
    <col collapsed="false" customWidth="true" hidden="false" outlineLevel="0" max="13" min="13" style="1" width="22"/>
    <col collapsed="false" customWidth="true" hidden="false" outlineLevel="0" max="14" min="14" style="1" width="11"/>
    <col collapsed="false" customWidth="true" hidden="false" outlineLevel="0" max="15" min="15" style="1" width="22"/>
    <col collapsed="false" customWidth="true" hidden="false" outlineLevel="0" max="16" min="16" style="1" width="26"/>
    <col collapsed="false" customWidth="true" hidden="false" outlineLevel="0" max="18" min="17" style="1" width="9"/>
    <col collapsed="false" customWidth="true" hidden="false" outlineLevel="0" max="21" min="19" style="1" width="15"/>
    <col collapsed="false" customWidth="true" hidden="false" outlineLevel="0" max="23" min="23" style="1" width="18"/>
    <col collapsed="false" customWidth="true" hidden="false" outlineLevel="0" max="24" min="24" style="1" width="4"/>
    <col collapsed="false" customWidth="true" hidden="false" outlineLevel="0" max="25" min="25" style="1" width="8"/>
    <col collapsed="false" customWidth="true" hidden="true" outlineLevel="0" max="30" min="27" style="1" width="13"/>
  </cols>
  <sheetData>
    <row r="1" customFormat="false" ht="30" hidden="false" customHeight="true" outlineLevel="0" collapsed="false">
      <c r="A1" s="19" t="s">
        <v>542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customFormat="false" ht="15" hidden="false" customHeight="true" outlineLevel="0" collapsed="false">
      <c r="A2" s="20" t="s">
        <v>543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customFormat="false" ht="18" hidden="false" customHeight="true" outlineLevel="0" collapsed="false">
      <c r="A3" s="21" t="s">
        <v>44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customFormat="false" ht="37.5" hidden="false" customHeight="true" outlineLevel="0" collapsed="false">
      <c r="A4" s="81" t="s">
        <v>544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W4" s="75" t="s">
        <v>545</v>
      </c>
      <c r="X4" s="75"/>
      <c r="Y4" s="75"/>
    </row>
    <row r="5" customFormat="false" ht="36" hidden="false" customHeight="true" outlineLevel="0" collapsed="false">
      <c r="A5" s="22" t="s">
        <v>546</v>
      </c>
      <c r="B5" s="22" t="s">
        <v>48</v>
      </c>
      <c r="C5" s="22" t="s">
        <v>547</v>
      </c>
      <c r="D5" s="22" t="s">
        <v>494</v>
      </c>
      <c r="E5" s="22" t="s">
        <v>495</v>
      </c>
      <c r="F5" s="22" t="s">
        <v>548</v>
      </c>
      <c r="G5" s="22" t="s">
        <v>549</v>
      </c>
      <c r="H5" s="22" t="s">
        <v>550</v>
      </c>
      <c r="I5" s="22" t="s">
        <v>551</v>
      </c>
      <c r="J5" s="22" t="s">
        <v>552</v>
      </c>
      <c r="K5" s="22" t="s">
        <v>553</v>
      </c>
      <c r="L5" s="22" t="s">
        <v>554</v>
      </c>
      <c r="M5" s="22" t="s">
        <v>555</v>
      </c>
      <c r="N5" s="22" t="s">
        <v>556</v>
      </c>
      <c r="O5" s="22" t="s">
        <v>557</v>
      </c>
      <c r="P5" s="22" t="s">
        <v>558</v>
      </c>
      <c r="Q5" s="82" t="s">
        <v>559</v>
      </c>
      <c r="R5" s="82" t="s">
        <v>560</v>
      </c>
      <c r="S5" s="82" t="s">
        <v>561</v>
      </c>
      <c r="T5" s="82" t="s">
        <v>562</v>
      </c>
      <c r="U5" s="82" t="s">
        <v>563</v>
      </c>
      <c r="W5" s="83" t="s">
        <v>564</v>
      </c>
      <c r="X5" s="83"/>
      <c r="Y5" s="84" t="n">
        <f aca="false">SUMPRODUCT((Q6:Q77&lt;&gt;"")*(R6:R77&lt;&gt;""))</f>
        <v>3</v>
      </c>
    </row>
    <row r="6" customFormat="false" ht="15" hidden="false" customHeight="true" outlineLevel="0" collapsed="false">
      <c r="A6" s="85" t="n">
        <v>1</v>
      </c>
      <c r="B6" s="85" t="s">
        <v>55</v>
      </c>
      <c r="C6" s="86" t="n">
        <v>46184</v>
      </c>
      <c r="D6" s="87" t="s">
        <v>53</v>
      </c>
      <c r="E6" s="87" t="s">
        <v>60</v>
      </c>
      <c r="F6" s="88" t="n">
        <f aca="false">ROUND((INDEX(Form_L20!$R$5:$R$52,MATCH(D6,Form_L20!$B$5:$B$52,0))*40+MIN(2,MAX(-2.5,INDEX(Form_L20!$M$5:$M$52,MATCH(D6,Form_L20!$B$5:$B$52,0))-INDEX(Form_L20!$N$5:$N$52,MATCH(D6,Form_L20!$B$5:$B$52,0))))*8+MIN(1.3,MAX(-0.7,1.3-INDEX(Form_L20!$N$5:$N$52,MATCH(D6,Form_L20!$B$5:$B$52,0))))*6)*INDEX(Form_L20!$Q$5:$Q$52,MATCH(D6,Form_L20!$B$5:$B$52,0))+INDEX(Tactics!$J$5:$J$52,MATCH(D6,Tactics!$B$5:$B$52,0))*0.3+INDEX(Tactics!$H$5:$H$52,MATCH(D6,Tactics!$B$5:$B$52,0))*1.5,1)</f>
        <v>61.7</v>
      </c>
      <c r="G6" s="88" t="n">
        <f aca="false">ROUND((INDEX(Form_L20!$R$5:$R$52,MATCH(E6,Form_L20!$B$5:$B$52,0))*40+MIN(2,MAX(-2.5,INDEX(Form_L20!$M$5:$M$52,MATCH(E6,Form_L20!$B$5:$B$52,0))-INDEX(Form_L20!$N$5:$N$52,MATCH(E6,Form_L20!$B$5:$B$52,0))))*8+MIN(1.3,MAX(-0.7,1.3-INDEX(Form_L20!$N$5:$N$52,MATCH(E6,Form_L20!$B$5:$B$52,0))))*6)*INDEX(Form_L20!$Q$5:$Q$52,MATCH(E6,Form_L20!$B$5:$B$52,0))+INDEX(Tactics!$J$5:$J$52,MATCH(E6,Tactics!$B$5:$B$52,0))*0.3+INDEX(Tactics!$H$5:$H$52,MATCH(E6,Tactics!$B$5:$B$52,0))*1.5,1)</f>
        <v>55.2</v>
      </c>
      <c r="H6" s="89" t="n">
        <f aca="false">F6-G6</f>
        <v>6.5</v>
      </c>
      <c r="I6" s="42" t="n">
        <f aca="false">ROUND((1/(1+10^(-H6/15)))*(1-J6),3)</f>
        <v>0.42</v>
      </c>
      <c r="J6" s="42" t="n">
        <f aca="false">ROUND(MAX(0.19,0.56-ABS(H6)/48),3)</f>
        <v>0.425</v>
      </c>
      <c r="K6" s="42" t="n">
        <f aca="false">ROUND(1-I6-J6,3)</f>
        <v>0.155</v>
      </c>
      <c r="L6" s="90" t="s">
        <v>565</v>
      </c>
      <c r="M6" s="60" t="s">
        <v>566</v>
      </c>
      <c r="N6" s="42" t="n">
        <f aca="false">MAX(I6,J6,K6)</f>
        <v>0.425</v>
      </c>
      <c r="O6" s="41"/>
      <c r="P6" s="45" t="s">
        <v>567</v>
      </c>
      <c r="Q6" s="91" t="n">
        <v>2</v>
      </c>
      <c r="R6" s="91" t="n">
        <v>0</v>
      </c>
      <c r="S6" s="92" t="str">
        <f aca="false">IF(OR(Q6="",R6=""),"",IF(Q6&gt;R6,D6&amp;" win",IF(R6&gt;Q6,E6&amp;" win","Draw")))</f>
        <v>Mexico win</v>
      </c>
      <c r="T6" s="92" t="str">
        <f aca="false">IF(U6="","",CHOOSE(MATCH(U6,{0,5,7,8,9,15},0),"Errou","Apenas Vencedor","Vencedor+Gols","Empate","Vencedor+Saldo","CRAVADA"))</f>
        <v>Vencedor+Saldo</v>
      </c>
      <c r="U6" s="93" t="n">
        <f aca="false">IF(OR(Q6="",R6=""),"",IF(AND(AA6=Q6,AB6=R6),15,IF(AND(AA6=AB6,Q6=R6),8,IF(AND(AA6&gt;AB6,Q6&gt;R6),IF((AA6-AB6)=(Q6-R6),9,IF(AA6=Q6,7,5)),IF(AND(AA6&lt;AB6,Q6&lt;R6),IF((AB6-AA6)=(R6-Q6),9,IF(AB6=R6,7,5)),0)))))</f>
        <v>9</v>
      </c>
      <c r="W6" s="94" t="s">
        <v>568</v>
      </c>
      <c r="X6" s="94"/>
      <c r="Y6" s="95" t="n">
        <f aca="false">SUMIF(U6:U77,"&gt;=0")</f>
        <v>24</v>
      </c>
      <c r="AA6" s="1" t="n">
        <f aca="false">IFERROR(VALUE(LEFT(L6,FIND(" - ",L6)-1)),"")</f>
        <v>3</v>
      </c>
      <c r="AB6" s="1" t="n">
        <f aca="false">IFERROR(VALUE(MID(L6,FIND(" - ",L6)+3,10)),"")</f>
        <v>1</v>
      </c>
      <c r="AC6" s="1" t="n">
        <f aca="false">INDEX(Form_L20!$M$5:$M$52,MATCH(D6,Form_L20!$B$5:$B$52,0))*0.6+INDEX(Form_L20!$N$5:$N$52,MATCH(E6,Form_L20!$B$5:$B$52,0))*0.4</f>
        <v>1.11652173913043</v>
      </c>
      <c r="AD6" s="1" t="n">
        <f aca="false">INDEX(Form_L20!$M$5:$M$52,MATCH(E6,Form_L20!$B$5:$B$52,0))*0.6+INDEX(Form_L20!$N$5:$N$52,MATCH(D6,Form_L20!$B$5:$B$52,0))*0.4</f>
        <v>1.19565217391304</v>
      </c>
    </row>
    <row r="7" customFormat="false" ht="15" hidden="false" customHeight="true" outlineLevel="0" collapsed="false">
      <c r="A7" s="85" t="n">
        <v>2</v>
      </c>
      <c r="B7" s="85" t="s">
        <v>55</v>
      </c>
      <c r="C7" s="86" t="n">
        <v>46184</v>
      </c>
      <c r="D7" s="87" t="s">
        <v>57</v>
      </c>
      <c r="E7" s="87" t="s">
        <v>63</v>
      </c>
      <c r="F7" s="88" t="n">
        <f aca="false">ROUND((INDEX(Form_L20!$R$5:$R$52,MATCH(D7,Form_L20!$B$5:$B$52,0))*40+MIN(2,MAX(-2.5,INDEX(Form_L20!$M$5:$M$52,MATCH(D7,Form_L20!$B$5:$B$52,0))-INDEX(Form_L20!$N$5:$N$52,MATCH(D7,Form_L20!$B$5:$B$52,0))))*8+MIN(1.3,MAX(-0.7,1.3-INDEX(Form_L20!$N$5:$N$52,MATCH(D7,Form_L20!$B$5:$B$52,0))))*6)*INDEX(Form_L20!$Q$5:$Q$52,MATCH(D7,Form_L20!$B$5:$B$52,0))+INDEX(Tactics!$J$5:$J$52,MATCH(D7,Tactics!$B$5:$B$52,0))*0.3+INDEX(Tactics!$H$5:$H$52,MATCH(D7,Tactics!$B$5:$B$52,0))*1.5,1)</f>
        <v>65.8</v>
      </c>
      <c r="G7" s="88" t="n">
        <f aca="false">ROUND((INDEX(Form_L20!$R$5:$R$52,MATCH(E7,Form_L20!$B$5:$B$52,0))*40+MIN(2,MAX(-2.5,INDEX(Form_L20!$M$5:$M$52,MATCH(E7,Form_L20!$B$5:$B$52,0))-INDEX(Form_L20!$N$5:$N$52,MATCH(E7,Form_L20!$B$5:$B$52,0))))*8+MIN(1.3,MAX(-0.7,1.3-INDEX(Form_L20!$N$5:$N$52,MATCH(E7,Form_L20!$B$5:$B$52,0))))*6)*INDEX(Form_L20!$Q$5:$Q$52,MATCH(E7,Form_L20!$B$5:$B$52,0))+INDEX(Tactics!$J$5:$J$52,MATCH(E7,Tactics!$B$5:$B$52,0))*0.3+INDEX(Tactics!$H$5:$H$52,MATCH(E7,Tactics!$B$5:$B$52,0))*1.5,1)</f>
        <v>66.1</v>
      </c>
      <c r="H7" s="89" t="n">
        <f aca="false">F7-G7</f>
        <v>-0.299999999999997</v>
      </c>
      <c r="I7" s="42" t="n">
        <f aca="false">ROUND((1/(1+10^(-H7/15)))*(1-J7),3)</f>
        <v>0.218</v>
      </c>
      <c r="J7" s="42" t="n">
        <f aca="false">ROUND(MAX(0.19,0.56-ABS(H7)/48),3)</f>
        <v>0.554</v>
      </c>
      <c r="K7" s="42" t="n">
        <f aca="false">ROUND(1-I7-J7,3)</f>
        <v>0.228</v>
      </c>
      <c r="L7" s="90" t="s">
        <v>569</v>
      </c>
      <c r="M7" s="60" t="s">
        <v>570</v>
      </c>
      <c r="N7" s="42" t="n">
        <f aca="false">MAX(I7,J7,K7)</f>
        <v>0.554</v>
      </c>
      <c r="O7" s="41"/>
      <c r="P7" s="45" t="s">
        <v>567</v>
      </c>
      <c r="Q7" s="91" t="n">
        <v>2</v>
      </c>
      <c r="R7" s="91" t="n">
        <v>1</v>
      </c>
      <c r="S7" s="92" t="str">
        <f aca="false">IF(OR(Q7="",R7=""),"",IF(Q7&gt;R7,D7&amp;" win",IF(R7&gt;Q7,E7&amp;" win","Draw")))</f>
        <v>South Korea win</v>
      </c>
      <c r="T7" s="92" t="str">
        <f aca="false">IF(U7="","",CHOOSE(MATCH(U7,{0,5,7,8,9,15},0),"Errou","Apenas Vencedor","Vencedor+Gols","Empate","Vencedor+Saldo","CRAVADA"))</f>
        <v>CRAVADA</v>
      </c>
      <c r="U7" s="93" t="n">
        <f aca="false">IF(OR(Q7="",R7=""),"",IF(AND(AA7=Q7,AB7=R7),15,IF(AND(AA7=AB7,Q7=R7),8,IF(AND(AA7&gt;AB7,Q7&gt;R7),IF((AA7-AB7)=(Q7-R7),9,IF(AA7=Q7,7,5)),IF(AND(AA7&lt;AB7,Q7&lt;R7),IF((AB7-AA7)=(R7-Q7),9,IF(AB7=R7,7,5)),0)))))</f>
        <v>15</v>
      </c>
      <c r="W7" s="83" t="s">
        <v>571</v>
      </c>
      <c r="X7" s="83"/>
      <c r="Y7" s="96" t="n">
        <f aca="false">IFERROR(SUMIF(U6:U77,"&gt;=0")/SUMPRODUCT((Q6:Q77&lt;&gt;"")*(R6:R77&lt;&gt;"")),0)</f>
        <v>8</v>
      </c>
      <c r="AA7" s="1" t="n">
        <f aca="false">IFERROR(VALUE(LEFT(L7,FIND(" - ",L7)-1)),"")</f>
        <v>2</v>
      </c>
      <c r="AB7" s="1" t="n">
        <f aca="false">IFERROR(VALUE(MID(L7,FIND(" - ",L7)+3,10)),"")</f>
        <v>1</v>
      </c>
      <c r="AC7" s="1" t="n">
        <f aca="false">INDEX(Form_L20!$M$5:$M$52,MATCH(D7,Form_L20!$B$5:$B$52,0))*0.6+INDEX(Form_L20!$N$5:$N$52,MATCH(E7,Form_L20!$B$5:$B$52,0))*0.4</f>
        <v>1.8</v>
      </c>
      <c r="AD7" s="1" t="n">
        <f aca="false">INDEX(Form_L20!$M$5:$M$52,MATCH(E7,Form_L20!$B$5:$B$52,0))*0.6+INDEX(Form_L20!$N$5:$N$52,MATCH(D7,Form_L20!$B$5:$B$52,0))*0.4</f>
        <v>1.8</v>
      </c>
    </row>
    <row r="8" customFormat="false" ht="15" hidden="false" customHeight="true" outlineLevel="0" collapsed="false">
      <c r="A8" s="85" t="n">
        <v>3</v>
      </c>
      <c r="B8" s="85" t="s">
        <v>67</v>
      </c>
      <c r="C8" s="86" t="n">
        <v>46185</v>
      </c>
      <c r="D8" s="87" t="s">
        <v>66</v>
      </c>
      <c r="E8" s="87" t="s">
        <v>73</v>
      </c>
      <c r="F8" s="88" t="n">
        <f aca="false">ROUND((INDEX(Form_L20!$R$5:$R$52,MATCH(D8,Form_L20!$B$5:$B$52,0))*40+MIN(2,MAX(-2.5,INDEX(Form_L20!$M$5:$M$52,MATCH(D8,Form_L20!$B$5:$B$52,0))-INDEX(Form_L20!$N$5:$N$52,MATCH(D8,Form_L20!$B$5:$B$52,0))))*8+MIN(1.3,MAX(-0.7,1.3-INDEX(Form_L20!$N$5:$N$52,MATCH(D8,Form_L20!$B$5:$B$52,0))))*6)*INDEX(Form_L20!$Q$5:$Q$52,MATCH(D8,Form_L20!$B$5:$B$52,0))+INDEX(Tactics!$J$5:$J$52,MATCH(D8,Tactics!$B$5:$B$52,0))*0.3+INDEX(Tactics!$H$5:$H$52,MATCH(D8,Tactics!$B$5:$B$52,0))*1.5,1)</f>
        <v>55.9</v>
      </c>
      <c r="G8" s="88" t="n">
        <f aca="false">ROUND((INDEX(Form_L20!$R$5:$R$52,MATCH(E8,Form_L20!$B$5:$B$52,0))*40+MIN(2,MAX(-2.5,INDEX(Form_L20!$M$5:$M$52,MATCH(E8,Form_L20!$B$5:$B$52,0))-INDEX(Form_L20!$N$5:$N$52,MATCH(E8,Form_L20!$B$5:$B$52,0))))*8+MIN(1.3,MAX(-0.7,1.3-INDEX(Form_L20!$N$5:$N$52,MATCH(E8,Form_L20!$B$5:$B$52,0))))*6)*INDEX(Form_L20!$Q$5:$Q$52,MATCH(E8,Form_L20!$B$5:$B$52,0))+INDEX(Tactics!$J$5:$J$52,MATCH(E8,Tactics!$B$5:$B$52,0))*0.3+INDEX(Tactics!$H$5:$H$52,MATCH(E8,Tactics!$B$5:$B$52,0))*1.5,1)</f>
        <v>66.7</v>
      </c>
      <c r="H8" s="89" t="n">
        <f aca="false">F8-G8</f>
        <v>-10.8</v>
      </c>
      <c r="I8" s="42" t="n">
        <f aca="false">ROUND((1/(1+10^(-H8/15)))*(1-J8),3)</f>
        <v>0.106</v>
      </c>
      <c r="J8" s="42" t="n">
        <f aca="false">ROUND(MAX(0.19,0.56-ABS(H8)/48),3)</f>
        <v>0.335</v>
      </c>
      <c r="K8" s="42" t="n">
        <f aca="false">ROUND(1-I8-J8,3)</f>
        <v>0.559</v>
      </c>
      <c r="L8" s="90" t="s">
        <v>569</v>
      </c>
      <c r="M8" s="60" t="s">
        <v>572</v>
      </c>
      <c r="N8" s="42" t="n">
        <f aca="false">MAX(I8,J8,K8)</f>
        <v>0.559</v>
      </c>
      <c r="O8" s="41"/>
      <c r="P8" s="45" t="s">
        <v>567</v>
      </c>
      <c r="Q8" s="91" t="n">
        <v>1</v>
      </c>
      <c r="R8" s="91" t="n">
        <v>1</v>
      </c>
      <c r="S8" s="92" t="str">
        <f aca="false">IF(OR(Q8="",R8=""),"",IF(Q8&gt;R8,D8&amp;" win",IF(R8&gt;Q8,E8&amp;" win","Draw")))</f>
        <v>Draw</v>
      </c>
      <c r="T8" s="92" t="str">
        <f aca="false">IF(U8="","",CHOOSE(MATCH(U8,{0,5,7,8,9,15},0),"Errou","Apenas Vencedor","Vencedor+Gols","Empate","Vencedor+Saldo","CRAVADA"))</f>
        <v>Errou</v>
      </c>
      <c r="U8" s="93" t="n">
        <f aca="false">IF(OR(Q8="",R8=""),"",IF(AND(AA8=Q8,AB8=R8),15,IF(AND(AA8=AB8,Q8=R8),8,IF(AND(AA8&gt;AB8,Q8&gt;R8),IF((AA8-AB8)=(Q8-R8),9,IF(AA8=Q8,7,5)),IF(AND(AA8&lt;AB8,Q8&lt;R8),IF((AB8-AA8)=(R8-Q8),9,IF(AB8=R8,7,5)),0)))))</f>
        <v>0</v>
      </c>
      <c r="W8" s="83" t="s">
        <v>573</v>
      </c>
      <c r="X8" s="83"/>
      <c r="Y8" s="84" t="n">
        <f aca="false">COUNTIF(U6:U77,15)</f>
        <v>1</v>
      </c>
      <c r="AA8" s="1" t="n">
        <f aca="false">IFERROR(VALUE(LEFT(L8,FIND(" - ",L8)-1)),"")</f>
        <v>2</v>
      </c>
      <c r="AB8" s="1" t="n">
        <f aca="false">IFERROR(VALUE(MID(L8,FIND(" - ",L8)+3,10)),"")</f>
        <v>1</v>
      </c>
      <c r="AC8" s="1" t="n">
        <f aca="false">INDEX(Form_L20!$M$5:$M$52,MATCH(D8,Form_L20!$B$5:$B$52,0))*0.6+INDEX(Form_L20!$N$5:$N$52,MATCH(E8,Form_L20!$B$5:$B$52,0))*0.4</f>
        <v>1.08</v>
      </c>
      <c r="AD8" s="1" t="n">
        <f aca="false">INDEX(Form_L20!$M$5:$M$52,MATCH(E8,Form_L20!$B$5:$B$52,0))*0.6+INDEX(Form_L20!$N$5:$N$52,MATCH(D8,Form_L20!$B$5:$B$52,0))*0.4</f>
        <v>1.54</v>
      </c>
    </row>
    <row r="9" customFormat="false" ht="15" hidden="false" customHeight="true" outlineLevel="0" collapsed="false">
      <c r="A9" s="85" t="n">
        <v>4</v>
      </c>
      <c r="B9" s="85" t="s">
        <v>85</v>
      </c>
      <c r="C9" s="86" t="n">
        <v>46185</v>
      </c>
      <c r="D9" s="87" t="s">
        <v>84</v>
      </c>
      <c r="E9" s="87" t="s">
        <v>87</v>
      </c>
      <c r="F9" s="88" t="n">
        <f aca="false">ROUND((INDEX(Form_L20!$R$5:$R$52,MATCH(D9,Form_L20!$B$5:$B$52,0))*40+MIN(2,MAX(-2.5,INDEX(Form_L20!$M$5:$M$52,MATCH(D9,Form_L20!$B$5:$B$52,0))-INDEX(Form_L20!$N$5:$N$52,MATCH(D9,Form_L20!$B$5:$B$52,0))))*8+MIN(1.3,MAX(-0.7,1.3-INDEX(Form_L20!$N$5:$N$52,MATCH(D9,Form_L20!$B$5:$B$52,0))))*6)*INDEX(Form_L20!$Q$5:$Q$52,MATCH(D9,Form_L20!$B$5:$B$52,0))+INDEX(Tactics!$J$5:$J$52,MATCH(D9,Tactics!$B$5:$B$52,0))*0.3+INDEX(Tactics!$H$5:$H$52,MATCH(D9,Tactics!$B$5:$B$52,0))*1.5,1)</f>
        <v>55.1</v>
      </c>
      <c r="G9" s="88" t="n">
        <f aca="false">ROUND((INDEX(Form_L20!$R$5:$R$52,MATCH(E9,Form_L20!$B$5:$B$52,0))*40+MIN(2,MAX(-2.5,INDEX(Form_L20!$M$5:$M$52,MATCH(E9,Form_L20!$B$5:$B$52,0))-INDEX(Form_L20!$N$5:$N$52,MATCH(E9,Form_L20!$B$5:$B$52,0))))*8+MIN(1.3,MAX(-0.7,1.3-INDEX(Form_L20!$N$5:$N$52,MATCH(E9,Form_L20!$B$5:$B$52,0))))*6)*INDEX(Form_L20!$Q$5:$Q$52,MATCH(E9,Form_L20!$B$5:$B$52,0))+INDEX(Tactics!$J$5:$J$52,MATCH(E9,Tactics!$B$5:$B$52,0))*0.3+INDEX(Tactics!$H$5:$H$52,MATCH(E9,Tactics!$B$5:$B$52,0))*1.5,1)</f>
        <v>54.6</v>
      </c>
      <c r="H9" s="89" t="n">
        <f aca="false">F9-G9</f>
        <v>0.5</v>
      </c>
      <c r="I9" s="42" t="n">
        <f aca="false">ROUND((1/(1+10^(-H9/15)))*(1-J9),3)</f>
        <v>0.234</v>
      </c>
      <c r="J9" s="42" t="n">
        <f aca="false">ROUND(MAX(0.19,0.56-ABS(H9)/48),3)</f>
        <v>0.55</v>
      </c>
      <c r="K9" s="42" t="n">
        <f aca="false">ROUND(1-I9-J9,3)</f>
        <v>0.216</v>
      </c>
      <c r="L9" s="90" t="str">
        <f aca="false">IF(AND(J9&gt;=I9,J9&gt;=K9),MAX(0,ROUND((AC9+AD9)/2,0))&amp;" - "&amp;MAX(0,ROUND((AC9+AD9)/2,0)),IF(I9&gt;=K9,MAX(ROUND(AC9+0.35,0),MAX(0,ROUND(AD9-0.15,0))+1)&amp;" - "&amp;MAX(0,ROUND(AD9-0.15,0)),MAX(0,ROUND(AC9-0.15,0))&amp;" - "&amp;MAX(ROUND(AD9+0.35,0),MAX(0,ROUND(AC9-0.15,0))+1)))</f>
        <v>1 - 1</v>
      </c>
      <c r="M9" s="60" t="str">
        <f aca="false">IF(AND(J9&gt;=I9,J9&gt;=K9),"Draw",IF(I9&gt;=K9,D9&amp;" win",E9&amp;" win"))</f>
        <v>Draw</v>
      </c>
      <c r="N9" s="42" t="n">
        <f aca="false">MAX(I9,J9,K9)</f>
        <v>0.55</v>
      </c>
      <c r="O9" s="41"/>
      <c r="P9" s="45"/>
      <c r="Q9" s="91"/>
      <c r="R9" s="91"/>
      <c r="S9" s="92" t="str">
        <f aca="false">IF(OR(Q9="",R9=""),"",IF(Q9&gt;R9,D9&amp;" win",IF(R9&gt;Q9,E9&amp;" win","Draw")))</f>
        <v/>
      </c>
      <c r="T9" s="92" t="str">
        <f aca="false">IF(U9="","",CHOOSE(MATCH(U9,{0,5,7,8,9,15},0),"Errou","Apenas Vencedor","Vencedor+Gols","Empate","Vencedor+Saldo","CRAVADA"))</f>
        <v/>
      </c>
      <c r="U9" s="93" t="str">
        <f aca="false">IF(OR(Q9="",R9=""),"",IF(AND(AA9=Q9,AB9=R9),15,IF(AND(AA9=AB9,Q9=R9),8,IF(AND(AA9&gt;AB9,Q9&gt;R9),IF((AA9-AB9)=(Q9-R9),9,IF(AA9=Q9,7,5)),IF(AND(AA9&lt;AB9,Q9&lt;R9),IF((AB9-AA9)=(R9-Q9),9,IF(AB9=R9,7,5)),0)))))</f>
        <v/>
      </c>
      <c r="W9" s="83" t="s">
        <v>574</v>
      </c>
      <c r="X9" s="83"/>
      <c r="Y9" s="84" t="n">
        <f aca="false">COUNTIF(U6:U77,9)</f>
        <v>1</v>
      </c>
      <c r="AA9" s="1" t="n">
        <f aca="false">IFERROR(VALUE(LEFT(L9,FIND(" - ",L9)-1)),"")</f>
        <v>1</v>
      </c>
      <c r="AB9" s="1" t="n">
        <f aca="false">IFERROR(VALUE(MID(L9,FIND(" - ",L9)+3,10)),"")</f>
        <v>1</v>
      </c>
      <c r="AC9" s="1" t="n">
        <f aca="false">INDEX(Form_L20!$M$5:$M$52,MATCH(D9,Form_L20!$B$5:$B$52,0))*0.6+INDEX(Form_L20!$N$5:$N$52,MATCH(E9,Form_L20!$B$5:$B$52,0))*0.4</f>
        <v>1.31428571428571</v>
      </c>
      <c r="AD9" s="1" t="n">
        <f aca="false">INDEX(Form_L20!$M$5:$M$52,MATCH(E9,Form_L20!$B$5:$B$52,0))*0.6+INDEX(Form_L20!$N$5:$N$52,MATCH(D9,Form_L20!$B$5:$B$52,0))*0.4</f>
        <v>1.03809523809524</v>
      </c>
    </row>
    <row r="10" customFormat="false" ht="15" hidden="false" customHeight="true" outlineLevel="0" collapsed="false">
      <c r="A10" s="85" t="n">
        <v>5</v>
      </c>
      <c r="B10" s="85" t="s">
        <v>77</v>
      </c>
      <c r="C10" s="86" t="n">
        <v>46186</v>
      </c>
      <c r="D10" s="87" t="s">
        <v>75</v>
      </c>
      <c r="E10" s="87" t="s">
        <v>79</v>
      </c>
      <c r="F10" s="88" t="n">
        <f aca="false">ROUND((INDEX(Form_L20!$R$5:$R$52,MATCH(D10,Form_L20!$B$5:$B$52,0))*40+MIN(2,MAX(-2.5,INDEX(Form_L20!$M$5:$M$52,MATCH(D10,Form_L20!$B$5:$B$52,0))-INDEX(Form_L20!$N$5:$N$52,MATCH(D10,Form_L20!$B$5:$B$52,0))))*8+MIN(1.3,MAX(-0.7,1.3-INDEX(Form_L20!$N$5:$N$52,MATCH(D10,Form_L20!$B$5:$B$52,0))))*6)*INDEX(Form_L20!$Q$5:$Q$52,MATCH(D10,Form_L20!$B$5:$B$52,0))+INDEX(Tactics!$J$5:$J$52,MATCH(D10,Tactics!$B$5:$B$52,0))*0.3+INDEX(Tactics!$H$5:$H$52,MATCH(D10,Tactics!$B$5:$B$52,0))*1.5,1)</f>
        <v>77.2</v>
      </c>
      <c r="G10" s="88" t="n">
        <f aca="false">ROUND((INDEX(Form_L20!$R$5:$R$52,MATCH(E10,Form_L20!$B$5:$B$52,0))*40+MIN(2,MAX(-2.5,INDEX(Form_L20!$M$5:$M$52,MATCH(E10,Form_L20!$B$5:$B$52,0))-INDEX(Form_L20!$N$5:$N$52,MATCH(E10,Form_L20!$B$5:$B$52,0))))*8+MIN(1.3,MAX(-0.7,1.3-INDEX(Form_L20!$N$5:$N$52,MATCH(E10,Form_L20!$B$5:$B$52,0))))*6)*INDEX(Form_L20!$Q$5:$Q$52,MATCH(E10,Form_L20!$B$5:$B$52,0))+INDEX(Tactics!$J$5:$J$52,MATCH(E10,Tactics!$B$5:$B$52,0))*0.3+INDEX(Tactics!$H$5:$H$52,MATCH(E10,Tactics!$B$5:$B$52,0))*1.5,1)</f>
        <v>72.3</v>
      </c>
      <c r="H10" s="89" t="n">
        <f aca="false">F10-G10</f>
        <v>4.90000000000001</v>
      </c>
      <c r="I10" s="42" t="n">
        <f aca="false">ROUND((1/(1+10^(-H10/15)))*(1-J10),3)</f>
        <v>0.368</v>
      </c>
      <c r="J10" s="42" t="n">
        <f aca="false">ROUND(MAX(0.19,0.56-ABS(H10)/48),3)</f>
        <v>0.458</v>
      </c>
      <c r="K10" s="42" t="n">
        <f aca="false">ROUND(1-I10-J10,3)</f>
        <v>0.174</v>
      </c>
      <c r="L10" s="90" t="str">
        <f aca="false">IF(AND(J10&gt;=I10,J10&gt;=K10),MAX(0,ROUND((AC10+AD10)/2,0))&amp;" - "&amp;MAX(0,ROUND((AC10+AD10)/2,0)),IF(I10&gt;=K10,MAX(ROUND(AC10+0.35,0),MAX(0,ROUND(AD10-0.15,0))+1)&amp;" - "&amp;MAX(0,ROUND(AD10-0.15,0)),MAX(0,ROUND(AC10-0.15,0))&amp;" - "&amp;MAX(ROUND(AD10+0.35,0),MAX(0,ROUND(AC10-0.15,0))+1)))</f>
        <v>1 - 1</v>
      </c>
      <c r="M10" s="60" t="str">
        <f aca="false">IF(AND(J10&gt;=I10,J10&gt;=K10),"Draw",IF(I10&gt;=K10,D10&amp;" win",E10&amp;" win"))</f>
        <v>Draw</v>
      </c>
      <c r="N10" s="42" t="n">
        <f aca="false">MAX(I10,J10,K10)</f>
        <v>0.458</v>
      </c>
      <c r="O10" s="41"/>
      <c r="P10" s="45"/>
      <c r="Q10" s="91"/>
      <c r="R10" s="91"/>
      <c r="S10" s="92" t="str">
        <f aca="false">IF(OR(Q10="",R10=""),"",IF(Q10&gt;R10,D10&amp;" win",IF(R10&gt;Q10,E10&amp;" win","Draw")))</f>
        <v/>
      </c>
      <c r="T10" s="92" t="str">
        <f aca="false">IF(U10="","",CHOOSE(MATCH(U10,{0,5,7,8,9,15},0),"Errou","Apenas Vencedor","Vencedor+Gols","Empate","Vencedor+Saldo","CRAVADA"))</f>
        <v/>
      </c>
      <c r="U10" s="93" t="str">
        <f aca="false">IF(OR(Q10="",R10=""),"",IF(AND(AA10=Q10,AB10=R10),15,IF(AND(AA10=AB10,Q10=R10),8,IF(AND(AA10&gt;AB10,Q10&gt;R10),IF((AA10-AB10)=(Q10-R10),9,IF(AA10=Q10,7,5)),IF(AND(AA10&lt;AB10,Q10&lt;R10),IF((AB10-AA10)=(R10-Q10),9,IF(AB10=R10,7,5)),0)))))</f>
        <v/>
      </c>
      <c r="W10" s="83" t="s">
        <v>575</v>
      </c>
      <c r="X10" s="83"/>
      <c r="Y10" s="84" t="n">
        <f aca="false">COUNTIF(U6:U77,8)</f>
        <v>0</v>
      </c>
      <c r="AA10" s="1" t="n">
        <f aca="false">IFERROR(VALUE(LEFT(L10,FIND(" - ",L10)-1)),"")</f>
        <v>1</v>
      </c>
      <c r="AB10" s="1" t="n">
        <f aca="false">IFERROR(VALUE(MID(L10,FIND(" - ",L10)+3,10)),"")</f>
        <v>1</v>
      </c>
      <c r="AC10" s="1" t="n">
        <f aca="false">INDEX(Form_L20!$M$5:$M$52,MATCH(D10,Form_L20!$B$5:$B$52,0))*0.6+INDEX(Form_L20!$N$5:$N$52,MATCH(E10,Form_L20!$B$5:$B$52,0))*0.4</f>
        <v>1.42</v>
      </c>
      <c r="AD10" s="1" t="n">
        <f aca="false">INDEX(Form_L20!$M$5:$M$52,MATCH(E10,Form_L20!$B$5:$B$52,0))*0.6+INDEX(Form_L20!$N$5:$N$52,MATCH(D10,Form_L20!$B$5:$B$52,0))*0.4</f>
        <v>1.29</v>
      </c>
    </row>
    <row r="11" customFormat="false" ht="15" hidden="false" customHeight="true" outlineLevel="0" collapsed="false">
      <c r="A11" s="85" t="n">
        <v>6</v>
      </c>
      <c r="B11" s="85" t="s">
        <v>85</v>
      </c>
      <c r="C11" s="86" t="n">
        <v>46186</v>
      </c>
      <c r="D11" s="87" t="s">
        <v>89</v>
      </c>
      <c r="E11" s="87" t="s">
        <v>91</v>
      </c>
      <c r="F11" s="88" t="n">
        <f aca="false">ROUND((INDEX(Form_L20!$R$5:$R$52,MATCH(D11,Form_L20!$B$5:$B$52,0))*40+MIN(2,MAX(-2.5,INDEX(Form_L20!$M$5:$M$52,MATCH(D11,Form_L20!$B$5:$B$52,0))-INDEX(Form_L20!$N$5:$N$52,MATCH(D11,Form_L20!$B$5:$B$52,0))))*8+MIN(1.3,MAX(-0.7,1.3-INDEX(Form_L20!$N$5:$N$52,MATCH(D11,Form_L20!$B$5:$B$52,0))))*6)*INDEX(Form_L20!$Q$5:$Q$52,MATCH(D11,Form_L20!$B$5:$B$52,0))+INDEX(Tactics!$J$5:$J$52,MATCH(D11,Tactics!$B$5:$B$52,0))*0.3+INDEX(Tactics!$H$5:$H$52,MATCH(D11,Tactics!$B$5:$B$52,0))*1.5,1)</f>
        <v>58</v>
      </c>
      <c r="G11" s="88" t="n">
        <f aca="false">ROUND((INDEX(Form_L20!$R$5:$R$52,MATCH(E11,Form_L20!$B$5:$B$52,0))*40+MIN(2,MAX(-2.5,INDEX(Form_L20!$M$5:$M$52,MATCH(E11,Form_L20!$B$5:$B$52,0))-INDEX(Form_L20!$N$5:$N$52,MATCH(E11,Form_L20!$B$5:$B$52,0))))*8+MIN(1.3,MAX(-0.7,1.3-INDEX(Form_L20!$N$5:$N$52,MATCH(E11,Form_L20!$B$5:$B$52,0))))*6)*INDEX(Form_L20!$Q$5:$Q$52,MATCH(E11,Form_L20!$B$5:$B$52,0))+INDEX(Tactics!$J$5:$J$52,MATCH(E11,Tactics!$B$5:$B$52,0))*0.3+INDEX(Tactics!$H$5:$H$52,MATCH(E11,Tactics!$B$5:$B$52,0))*1.5,1)</f>
        <v>71.1</v>
      </c>
      <c r="H11" s="89" t="n">
        <f aca="false">F11-G11</f>
        <v>-13.1</v>
      </c>
      <c r="I11" s="42" t="n">
        <f aca="false">ROUND((1/(1+10^(-H11/15)))*(1-J11),3)</f>
        <v>0.084</v>
      </c>
      <c r="J11" s="42" t="n">
        <f aca="false">ROUND(MAX(0.19,0.56-ABS(H11)/48),3)</f>
        <v>0.287</v>
      </c>
      <c r="K11" s="42" t="n">
        <f aca="false">ROUND(1-I11-J11,3)</f>
        <v>0.629</v>
      </c>
      <c r="L11" s="90" t="str">
        <f aca="false">IF(AND(J11&gt;=I11,J11&gt;=K11),MAX(0,ROUND((AC11+AD11)/2,0))&amp;" - "&amp;MAX(0,ROUND((AC11+AD11)/2,0)),IF(I11&gt;=K11,MAX(ROUND(AC11+0.35,0),MAX(0,ROUND(AD11-0.15,0))+1)&amp;" - "&amp;MAX(0,ROUND(AD11-0.15,0)),MAX(0,ROUND(AC11-0.15,0))&amp;" - "&amp;MAX(ROUND(AD11+0.35,0),MAX(0,ROUND(AC11-0.15,0))+1)))</f>
        <v>1 - 2</v>
      </c>
      <c r="M11" s="60" t="str">
        <f aca="false">IF(AND(J11&gt;=I11,J11&gt;=K11),"Draw",IF(I11&gt;=K11,D11&amp;" win",E11&amp;" win"))</f>
        <v>Türkiye win</v>
      </c>
      <c r="N11" s="42" t="n">
        <f aca="false">MAX(I11,J11,K11)</f>
        <v>0.629</v>
      </c>
      <c r="O11" s="41"/>
      <c r="P11" s="45"/>
      <c r="Q11" s="91"/>
      <c r="R11" s="91"/>
      <c r="S11" s="92" t="str">
        <f aca="false">IF(OR(Q11="",R11=""),"",IF(Q11&gt;R11,D11&amp;" win",IF(R11&gt;Q11,E11&amp;" win","Draw")))</f>
        <v/>
      </c>
      <c r="T11" s="92" t="str">
        <f aca="false">IF(U11="","",CHOOSE(MATCH(U11,{0,5,7,8,9,15},0),"Errou","Apenas Vencedor","Vencedor+Gols","Empate","Vencedor+Saldo","CRAVADA"))</f>
        <v/>
      </c>
      <c r="U11" s="93" t="str">
        <f aca="false">IF(OR(Q11="",R11=""),"",IF(AND(AA11=Q11,AB11=R11),15,IF(AND(AA11=AB11,Q11=R11),8,IF(AND(AA11&gt;AB11,Q11&gt;R11),IF((AA11-AB11)=(Q11-R11),9,IF(AA11=Q11,7,5)),IF(AND(AA11&lt;AB11,Q11&lt;R11),IF((AB11-AA11)=(R11-Q11),9,IF(AB11=R11,7,5)),0)))))</f>
        <v/>
      </c>
      <c r="W11" s="83" t="s">
        <v>576</v>
      </c>
      <c r="X11" s="83"/>
      <c r="Y11" s="84" t="n">
        <f aca="false">COUNTIF(U6:U77,7)</f>
        <v>0</v>
      </c>
      <c r="AA11" s="1" t="n">
        <f aca="false">IFERROR(VALUE(LEFT(L11,FIND(" - ",L11)-1)),"")</f>
        <v>1</v>
      </c>
      <c r="AB11" s="1" t="n">
        <f aca="false">IFERROR(VALUE(MID(L11,FIND(" - ",L11)+3,10)),"")</f>
        <v>2</v>
      </c>
      <c r="AC11" s="1" t="n">
        <f aca="false">INDEX(Form_L20!$M$5:$M$52,MATCH(D11,Form_L20!$B$5:$B$52,0))*0.6+INDEX(Form_L20!$N$5:$N$52,MATCH(E11,Form_L20!$B$5:$B$52,0))*0.4</f>
        <v>1.62</v>
      </c>
      <c r="AD11" s="1" t="n">
        <f aca="false">INDEX(Form_L20!$M$5:$M$52,MATCH(E11,Form_L20!$B$5:$B$52,0))*0.6+INDEX(Form_L20!$N$5:$N$52,MATCH(D11,Form_L20!$B$5:$B$52,0))*0.4</f>
        <v>1.745</v>
      </c>
    </row>
    <row r="12" customFormat="false" ht="15" hidden="false" customHeight="true" outlineLevel="0" collapsed="false">
      <c r="A12" s="85" t="n">
        <v>7</v>
      </c>
      <c r="B12" s="85" t="s">
        <v>77</v>
      </c>
      <c r="C12" s="86" t="n">
        <v>46186</v>
      </c>
      <c r="D12" s="87" t="s">
        <v>82</v>
      </c>
      <c r="E12" s="87" t="s">
        <v>81</v>
      </c>
      <c r="F12" s="88" t="n">
        <f aca="false">ROUND((INDEX(Form_L20!$R$5:$R$52,MATCH(D12,Form_L20!$B$5:$B$52,0))*40+MIN(2,MAX(-2.5,INDEX(Form_L20!$M$5:$M$52,MATCH(D12,Form_L20!$B$5:$B$52,0))-INDEX(Form_L20!$N$5:$N$52,MATCH(D12,Form_L20!$B$5:$B$52,0))))*8+MIN(1.3,MAX(-0.7,1.3-INDEX(Form_L20!$N$5:$N$52,MATCH(D12,Form_L20!$B$5:$B$52,0))))*6)*INDEX(Form_L20!$Q$5:$Q$52,MATCH(D12,Form_L20!$B$5:$B$52,0))+INDEX(Tactics!$J$5:$J$52,MATCH(D12,Tactics!$B$5:$B$52,0))*0.3+INDEX(Tactics!$H$5:$H$52,MATCH(D12,Tactics!$B$5:$B$52,0))*1.5,1)</f>
        <v>52.7</v>
      </c>
      <c r="G12" s="88" t="n">
        <f aca="false">ROUND((INDEX(Form_L20!$R$5:$R$52,MATCH(E12,Form_L20!$B$5:$B$52,0))*40+MIN(2,MAX(-2.5,INDEX(Form_L20!$M$5:$M$52,MATCH(E12,Form_L20!$B$5:$B$52,0))-INDEX(Form_L20!$N$5:$N$52,MATCH(E12,Form_L20!$B$5:$B$52,0))))*8+MIN(1.3,MAX(-0.7,1.3-INDEX(Form_L20!$N$5:$N$52,MATCH(E12,Form_L20!$B$5:$B$52,0))))*6)*INDEX(Form_L20!$Q$5:$Q$52,MATCH(E12,Form_L20!$B$5:$B$52,0))+INDEX(Tactics!$J$5:$J$52,MATCH(E12,Tactics!$B$5:$B$52,0))*0.3+INDEX(Tactics!$H$5:$H$52,MATCH(E12,Tactics!$B$5:$B$52,0))*1.5,1)</f>
        <v>70.7</v>
      </c>
      <c r="H12" s="89" t="n">
        <f aca="false">F12-G12</f>
        <v>-18</v>
      </c>
      <c r="I12" s="42" t="n">
        <f aca="false">ROUND((1/(1+10^(-H12/15)))*(1-J12),3)</f>
        <v>0.048</v>
      </c>
      <c r="J12" s="42" t="n">
        <f aca="false">ROUND(MAX(0.19,0.56-ABS(H12)/48),3)</f>
        <v>0.19</v>
      </c>
      <c r="K12" s="42" t="n">
        <f aca="false">ROUND(1-I12-J12,3)</f>
        <v>0.762</v>
      </c>
      <c r="L12" s="90" t="str">
        <f aca="false">IF(AND(J12&gt;=I12,J12&gt;=K12),MAX(0,ROUND((AC12+AD12)/2,0))&amp;" - "&amp;MAX(0,ROUND((AC12+AD12)/2,0)),IF(I12&gt;=K12,MAX(ROUND(AC12+0.35,0),MAX(0,ROUND(AD12-0.15,0))+1)&amp;" - "&amp;MAX(0,ROUND(AD12-0.15,0)),MAX(0,ROUND(AC12-0.15,0))&amp;" - "&amp;MAX(ROUND(AD12+0.35,0),MAX(0,ROUND(AC12-0.15,0))+1)))</f>
        <v>1 - 2</v>
      </c>
      <c r="M12" s="60" t="str">
        <f aca="false">IF(AND(J12&gt;=I12,J12&gt;=K12),"Draw",IF(I12&gt;=K12,D12&amp;" win",E12&amp;" win"))</f>
        <v>Scotland win</v>
      </c>
      <c r="N12" s="42" t="n">
        <f aca="false">MAX(I12,J12,K12)</f>
        <v>0.762</v>
      </c>
      <c r="O12" s="41"/>
      <c r="P12" s="45"/>
      <c r="Q12" s="91"/>
      <c r="R12" s="91"/>
      <c r="S12" s="92" t="str">
        <f aca="false">IF(OR(Q12="",R12=""),"",IF(Q12&gt;R12,D12&amp;" win",IF(R12&gt;Q12,E12&amp;" win","Draw")))</f>
        <v/>
      </c>
      <c r="T12" s="92" t="str">
        <f aca="false">IF(U12="","",CHOOSE(MATCH(U12,{0,5,7,8,9,15},0),"Errou","Apenas Vencedor","Vencedor+Gols","Empate","Vencedor+Saldo","CRAVADA"))</f>
        <v/>
      </c>
      <c r="U12" s="93" t="str">
        <f aca="false">IF(OR(Q12="",R12=""),"",IF(AND(AA12=Q12,AB12=R12),15,IF(AND(AA12=AB12,Q12=R12),8,IF(AND(AA12&gt;AB12,Q12&gt;R12),IF((AA12-AB12)=(Q12-R12),9,IF(AA12=Q12,7,5)),IF(AND(AA12&lt;AB12,Q12&lt;R12),IF((AB12-AA12)=(R12-Q12),9,IF(AB12=R12,7,5)),0)))))</f>
        <v/>
      </c>
      <c r="W12" s="83" t="s">
        <v>577</v>
      </c>
      <c r="X12" s="83"/>
      <c r="Y12" s="84" t="n">
        <f aca="false">COUNTIF(U6:U77,5)</f>
        <v>0</v>
      </c>
      <c r="AA12" s="1" t="n">
        <f aca="false">IFERROR(VALUE(LEFT(L12,FIND(" - ",L12)-1)),"")</f>
        <v>1</v>
      </c>
      <c r="AB12" s="1" t="n">
        <f aca="false">IFERROR(VALUE(MID(L12,FIND(" - ",L12)+3,10)),"")</f>
        <v>2</v>
      </c>
      <c r="AC12" s="1" t="n">
        <f aca="false">INDEX(Form_L20!$M$5:$M$52,MATCH(D12,Form_L20!$B$5:$B$52,0))*0.6+INDEX(Form_L20!$N$5:$N$52,MATCH(E12,Form_L20!$B$5:$B$52,0))*0.4</f>
        <v>1.36666666666667</v>
      </c>
      <c r="AD12" s="1" t="n">
        <f aca="false">INDEX(Form_L20!$M$5:$M$52,MATCH(E12,Form_L20!$B$5:$B$52,0))*0.6+INDEX(Form_L20!$N$5:$N$52,MATCH(D12,Form_L20!$B$5:$B$52,0))*0.4</f>
        <v>1.7</v>
      </c>
    </row>
    <row r="13" customFormat="false" ht="15" hidden="false" customHeight="true" outlineLevel="0" collapsed="false">
      <c r="A13" s="85" t="n">
        <v>8</v>
      </c>
      <c r="B13" s="85" t="s">
        <v>67</v>
      </c>
      <c r="C13" s="86" t="n">
        <v>46186</v>
      </c>
      <c r="D13" s="87" t="s">
        <v>71</v>
      </c>
      <c r="E13" s="87" t="s">
        <v>69</v>
      </c>
      <c r="F13" s="88" t="n">
        <f aca="false">ROUND((INDEX(Form_L20!$R$5:$R$52,MATCH(D13,Form_L20!$B$5:$B$52,0))*40+MIN(2,MAX(-2.5,INDEX(Form_L20!$M$5:$M$52,MATCH(D13,Form_L20!$B$5:$B$52,0))-INDEX(Form_L20!$N$5:$N$52,MATCH(D13,Form_L20!$B$5:$B$52,0))))*8+MIN(1.3,MAX(-0.7,1.3-INDEX(Form_L20!$N$5:$N$52,MATCH(D13,Form_L20!$B$5:$B$52,0))))*6)*INDEX(Form_L20!$Q$5:$Q$52,MATCH(D13,Form_L20!$B$5:$B$52,0))+INDEX(Tactics!$J$5:$J$52,MATCH(D13,Tactics!$B$5:$B$52,0))*0.3+INDEX(Tactics!$H$5:$H$52,MATCH(D13,Tactics!$B$5:$B$52,0))*1.5,1)</f>
        <v>41.7</v>
      </c>
      <c r="G13" s="88" t="n">
        <f aca="false">ROUND((INDEX(Form_L20!$R$5:$R$52,MATCH(E13,Form_L20!$B$5:$B$52,0))*40+MIN(2,MAX(-2.5,INDEX(Form_L20!$M$5:$M$52,MATCH(E13,Form_L20!$B$5:$B$52,0))-INDEX(Form_L20!$N$5:$N$52,MATCH(E13,Form_L20!$B$5:$B$52,0))))*8+MIN(1.3,MAX(-0.7,1.3-INDEX(Form_L20!$N$5:$N$52,MATCH(E13,Form_L20!$B$5:$B$52,0))))*6)*INDEX(Form_L20!$Q$5:$Q$52,MATCH(E13,Form_L20!$B$5:$B$52,0))+INDEX(Tactics!$J$5:$J$52,MATCH(E13,Tactics!$B$5:$B$52,0))*0.3+INDEX(Tactics!$H$5:$H$52,MATCH(E13,Tactics!$B$5:$B$52,0))*1.5,1)</f>
        <v>84.1</v>
      </c>
      <c r="H13" s="89" t="n">
        <f aca="false">F13-G13</f>
        <v>-42.4</v>
      </c>
      <c r="I13" s="42" t="n">
        <f aca="false">ROUND((1/(1+10^(-H13/15)))*(1-J13),3)</f>
        <v>0.001</v>
      </c>
      <c r="J13" s="42" t="n">
        <f aca="false">ROUND(MAX(0.19,0.56-ABS(H13)/48),3)</f>
        <v>0.19</v>
      </c>
      <c r="K13" s="42" t="n">
        <f aca="false">ROUND(1-I13-J13,3)</f>
        <v>0.809</v>
      </c>
      <c r="L13" s="90" t="str">
        <f aca="false">IF(AND(J13&gt;=I13,J13&gt;=K13),MAX(0,ROUND((AC13+AD13)/2,0))&amp;" - "&amp;MAX(0,ROUND((AC13+AD13)/2,0)),IF(I13&gt;=K13,MAX(ROUND(AC13+0.35,0),MAX(0,ROUND(AD13-0.15,0))+1)&amp;" - "&amp;MAX(0,ROUND(AD13-0.15,0)),MAX(0,ROUND(AC13-0.15,0))&amp;" - "&amp;MAX(ROUND(AD13+0.35,0),MAX(0,ROUND(AC13-0.15,0))+1)))</f>
        <v>1 - 2</v>
      </c>
      <c r="M13" s="60" t="str">
        <f aca="false">IF(AND(J13&gt;=I13,J13&gt;=K13),"Draw",IF(I13&gt;=K13,D13&amp;" win",E13&amp;" win"))</f>
        <v>Switzerland win</v>
      </c>
      <c r="N13" s="42" t="n">
        <f aca="false">MAX(I13,J13,K13)</f>
        <v>0.809</v>
      </c>
      <c r="O13" s="41"/>
      <c r="P13" s="45"/>
      <c r="Q13" s="91"/>
      <c r="R13" s="91"/>
      <c r="S13" s="92" t="str">
        <f aca="false">IF(OR(Q13="",R13=""),"",IF(Q13&gt;R13,D13&amp;" win",IF(R13&gt;Q13,E13&amp;" win","Draw")))</f>
        <v/>
      </c>
      <c r="T13" s="92" t="str">
        <f aca="false">IF(U13="","",CHOOSE(MATCH(U13,{0,5,7,8,9,15},0),"Errou","Apenas Vencedor","Vencedor+Gols","Empate","Vencedor+Saldo","CRAVADA"))</f>
        <v/>
      </c>
      <c r="U13" s="93" t="str">
        <f aca="false">IF(OR(Q13="",R13=""),"",IF(AND(AA13=Q13,AB13=R13),15,IF(AND(AA13=AB13,Q13=R13),8,IF(AND(AA13&gt;AB13,Q13&gt;R13),IF((AA13-AB13)=(Q13-R13),9,IF(AA13=Q13,7,5)),IF(AND(AA13&lt;AB13,Q13&lt;R13),IF((AB13-AA13)=(R13-Q13),9,IF(AB13=R13,7,5)),0)))))</f>
        <v/>
      </c>
      <c r="W13" s="83" t="s">
        <v>578</v>
      </c>
      <c r="X13" s="83"/>
      <c r="Y13" s="84" t="n">
        <f aca="false">COUNTIF(U6:U77,0)</f>
        <v>1</v>
      </c>
      <c r="AA13" s="1" t="n">
        <f aca="false">IFERROR(VALUE(LEFT(L13,FIND(" - ",L13)-1)),"")</f>
        <v>1</v>
      </c>
      <c r="AB13" s="1" t="n">
        <f aca="false">IFERROR(VALUE(MID(L13,FIND(" - ",L13)+3,10)),"")</f>
        <v>2</v>
      </c>
      <c r="AC13" s="1" t="n">
        <f aca="false">INDEX(Form_L20!$M$5:$M$52,MATCH(D13,Form_L20!$B$5:$B$52,0))*0.6+INDEX(Form_L20!$N$5:$N$52,MATCH(E13,Form_L20!$B$5:$B$52,0))*0.4</f>
        <v>0.933333333333333</v>
      </c>
      <c r="AD13" s="1" t="n">
        <f aca="false">INDEX(Form_L20!$M$5:$M$52,MATCH(E13,Form_L20!$B$5:$B$52,0))*0.6+INDEX(Form_L20!$N$5:$N$52,MATCH(D13,Form_L20!$B$5:$B$52,0))*0.4</f>
        <v>2.13333333333333</v>
      </c>
    </row>
    <row r="14" customFormat="false" ht="15" hidden="false" customHeight="true" outlineLevel="0" collapsed="false">
      <c r="A14" s="85" t="n">
        <v>9</v>
      </c>
      <c r="B14" s="85" t="s">
        <v>94</v>
      </c>
      <c r="C14" s="86" t="n">
        <v>46187</v>
      </c>
      <c r="D14" s="87" t="s">
        <v>93</v>
      </c>
      <c r="E14" s="87" t="s">
        <v>99</v>
      </c>
      <c r="F14" s="88" t="n">
        <f aca="false">ROUND((INDEX(Form_L20!$R$5:$R$52,MATCH(D14,Form_L20!$B$5:$B$52,0))*40+MIN(2,MAX(-2.5,INDEX(Form_L20!$M$5:$M$52,MATCH(D14,Form_L20!$B$5:$B$52,0))-INDEX(Form_L20!$N$5:$N$52,MATCH(D14,Form_L20!$B$5:$B$52,0))))*8+MIN(1.3,MAX(-0.7,1.3-INDEX(Form_L20!$N$5:$N$52,MATCH(D14,Form_L20!$B$5:$B$52,0))))*6)*INDEX(Form_L20!$Q$5:$Q$52,MATCH(D14,Form_L20!$B$5:$B$52,0))+INDEX(Tactics!$J$5:$J$52,MATCH(D14,Tactics!$B$5:$B$52,0))*0.3+INDEX(Tactics!$H$5:$H$52,MATCH(D14,Tactics!$B$5:$B$52,0))*1.5,1)</f>
        <v>78.7</v>
      </c>
      <c r="G14" s="88" t="n">
        <f aca="false">ROUND((INDEX(Form_L20!$R$5:$R$52,MATCH(E14,Form_L20!$B$5:$B$52,0))*40+MIN(2,MAX(-2.5,INDEX(Form_L20!$M$5:$M$52,MATCH(E14,Form_L20!$B$5:$B$52,0))-INDEX(Form_L20!$N$5:$N$52,MATCH(E14,Form_L20!$B$5:$B$52,0))))*8+MIN(1.3,MAX(-0.7,1.3-INDEX(Form_L20!$N$5:$N$52,MATCH(E14,Form_L20!$B$5:$B$52,0))))*6)*INDEX(Form_L20!$Q$5:$Q$52,MATCH(E14,Form_L20!$B$5:$B$52,0))+INDEX(Tactics!$J$5:$J$52,MATCH(E14,Tactics!$B$5:$B$52,0))*0.3+INDEX(Tactics!$H$5:$H$52,MATCH(E14,Tactics!$B$5:$B$52,0))*1.5,1)</f>
        <v>63.8</v>
      </c>
      <c r="H14" s="89" t="n">
        <f aca="false">F14-G14</f>
        <v>14.9</v>
      </c>
      <c r="I14" s="42" t="n">
        <f aca="false">ROUND((1/(1+10^(-H14/15)))*(1-J14),3)</f>
        <v>0.681</v>
      </c>
      <c r="J14" s="42" t="n">
        <f aca="false">ROUND(MAX(0.19,0.56-ABS(H14)/48),3)</f>
        <v>0.25</v>
      </c>
      <c r="K14" s="42" t="n">
        <f aca="false">ROUND(1-I14-J14,3)</f>
        <v>0.069</v>
      </c>
      <c r="L14" s="90" t="str">
        <f aca="false">IF(AND(J14&gt;=I14,J14&gt;=K14),MAX(0,ROUND((AC14+AD14)/2,0))&amp;" - "&amp;MAX(0,ROUND((AC14+AD14)/2,0)),IF(I14&gt;=K14,MAX(ROUND(AC14+0.35,0),MAX(0,ROUND(AD14-0.15,0))+1)&amp;" - "&amp;MAX(0,ROUND(AD14-0.15,0)),MAX(0,ROUND(AC14-0.15,0))&amp;" - "&amp;MAX(ROUND(AD14+0.35,0),MAX(0,ROUND(AC14-0.15,0))+1)))</f>
        <v>2 - 1</v>
      </c>
      <c r="M14" s="60" t="str">
        <f aca="false">IF(AND(J14&gt;=I14,J14&gt;=K14),"Draw",IF(I14&gt;=K14,D14&amp;" win",E14&amp;" win"))</f>
        <v>Germany win</v>
      </c>
      <c r="N14" s="42" t="n">
        <f aca="false">MAX(I14,J14,K14)</f>
        <v>0.681</v>
      </c>
      <c r="O14" s="41"/>
      <c r="P14" s="45"/>
      <c r="Q14" s="91"/>
      <c r="R14" s="91"/>
      <c r="S14" s="92" t="str">
        <f aca="false">IF(OR(Q14="",R14=""),"",IF(Q14&gt;R14,D14&amp;" win",IF(R14&gt;Q14,E14&amp;" win","Draw")))</f>
        <v/>
      </c>
      <c r="T14" s="92" t="str">
        <f aca="false">IF(U14="","",CHOOSE(MATCH(U14,{0,5,7,8,9,15},0),"Errou","Apenas Vencedor","Vencedor+Gols","Empate","Vencedor+Saldo","CRAVADA"))</f>
        <v/>
      </c>
      <c r="U14" s="93" t="str">
        <f aca="false">IF(OR(Q14="",R14=""),"",IF(AND(AA14=Q14,AB14=R14),15,IF(AND(AA14=AB14,Q14=R14),8,IF(AND(AA14&gt;AB14,Q14&gt;R14),IF((AA14-AB14)=(Q14-R14),9,IF(AA14=Q14,7,5)),IF(AND(AA14&lt;AB14,Q14&lt;R14),IF((AB14-AA14)=(R14-Q14),9,IF(AB14=R14,7,5)),0)))))</f>
        <v/>
      </c>
      <c r="AA14" s="1" t="n">
        <f aca="false">IFERROR(VALUE(LEFT(L14,FIND(" - ",L14)-1)),"")</f>
        <v>2</v>
      </c>
      <c r="AB14" s="1" t="n">
        <f aca="false">IFERROR(VALUE(MID(L14,FIND(" - ",L14)+3,10)),"")</f>
        <v>1</v>
      </c>
      <c r="AC14" s="1" t="n">
        <f aca="false">INDEX(Form_L20!$M$5:$M$52,MATCH(D14,Form_L20!$B$5:$B$52,0))*0.6+INDEX(Form_L20!$N$5:$N$52,MATCH(E14,Form_L20!$B$5:$B$52,0))*0.4</f>
        <v>1.4</v>
      </c>
      <c r="AD14" s="1" t="n">
        <f aca="false">INDEX(Form_L20!$M$5:$M$52,MATCH(E14,Form_L20!$B$5:$B$52,0))*0.6+INDEX(Form_L20!$N$5:$N$52,MATCH(D14,Form_L20!$B$5:$B$52,0))*0.4</f>
        <v>1.64</v>
      </c>
    </row>
    <row r="15" customFormat="false" ht="15" hidden="false" customHeight="true" outlineLevel="0" collapsed="false">
      <c r="A15" s="85" t="n">
        <v>10</v>
      </c>
      <c r="B15" s="85" t="s">
        <v>94</v>
      </c>
      <c r="C15" s="86" t="n">
        <v>46187</v>
      </c>
      <c r="D15" s="87" t="s">
        <v>98</v>
      </c>
      <c r="E15" s="87" t="s">
        <v>96</v>
      </c>
      <c r="F15" s="88" t="n">
        <f aca="false">ROUND((INDEX(Form_L20!$R$5:$R$52,MATCH(D15,Form_L20!$B$5:$B$52,0))*40+MIN(2,MAX(-2.5,INDEX(Form_L20!$M$5:$M$52,MATCH(D15,Form_L20!$B$5:$B$52,0))-INDEX(Form_L20!$N$5:$N$52,MATCH(D15,Form_L20!$B$5:$B$52,0))))*8+MIN(1.3,MAX(-0.7,1.3-INDEX(Form_L20!$N$5:$N$52,MATCH(D15,Form_L20!$B$5:$B$52,0))))*6)*INDEX(Form_L20!$Q$5:$Q$52,MATCH(D15,Form_L20!$B$5:$B$52,0))+INDEX(Tactics!$J$5:$J$52,MATCH(D15,Tactics!$B$5:$B$52,0))*0.3+INDEX(Tactics!$H$5:$H$52,MATCH(D15,Tactics!$B$5:$B$52,0))*1.5,1)</f>
        <v>81.6</v>
      </c>
      <c r="G15" s="88" t="n">
        <f aca="false">ROUND((INDEX(Form_L20!$R$5:$R$52,MATCH(E15,Form_L20!$B$5:$B$52,0))*40+MIN(2,MAX(-2.5,INDEX(Form_L20!$M$5:$M$52,MATCH(E15,Form_L20!$B$5:$B$52,0))-INDEX(Form_L20!$N$5:$N$52,MATCH(E15,Form_L20!$B$5:$B$52,0))))*8+MIN(1.3,MAX(-0.7,1.3-INDEX(Form_L20!$N$5:$N$52,MATCH(E15,Form_L20!$B$5:$B$52,0))))*6)*INDEX(Form_L20!$Q$5:$Q$52,MATCH(E15,Form_L20!$B$5:$B$52,0))+INDEX(Tactics!$J$5:$J$52,MATCH(E15,Tactics!$B$5:$B$52,0))*0.3+INDEX(Tactics!$H$5:$H$52,MATCH(E15,Tactics!$B$5:$B$52,0))*1.5,1)</f>
        <v>72.4</v>
      </c>
      <c r="H15" s="89" t="n">
        <f aca="false">F15-G15</f>
        <v>9.19999999999999</v>
      </c>
      <c r="I15" s="42" t="n">
        <f aca="false">ROUND((1/(1+10^(-H15/15)))*(1-J15),3)</f>
        <v>0.508</v>
      </c>
      <c r="J15" s="42" t="n">
        <f aca="false">ROUND(MAX(0.19,0.56-ABS(H15)/48),3)</f>
        <v>0.368</v>
      </c>
      <c r="K15" s="42" t="n">
        <f aca="false">ROUND(1-I15-J15,3)</f>
        <v>0.124</v>
      </c>
      <c r="L15" s="90" t="str">
        <f aca="false">IF(AND(J15&gt;=I15,J15&gt;=K15),MAX(0,ROUND((AC15+AD15)/2,0))&amp;" - "&amp;MAX(0,ROUND((AC15+AD15)/2,0)),IF(I15&gt;=K15,MAX(ROUND(AC15+0.35,0),MAX(0,ROUND(AD15-0.15,0))+1)&amp;" - "&amp;MAX(0,ROUND(AD15-0.15,0)),MAX(0,ROUND(AC15-0.15,0))&amp;" - "&amp;MAX(ROUND(AD15+0.35,0),MAX(0,ROUND(AC15-0.15,0))+1)))</f>
        <v>2 - 0</v>
      </c>
      <c r="M15" s="60" t="str">
        <f aca="false">IF(AND(J15&gt;=I15,J15&gt;=K15),"Draw",IF(I15&gt;=K15,D15&amp;" win",E15&amp;" win"))</f>
        <v>Ivory Coast win</v>
      </c>
      <c r="N15" s="42" t="n">
        <f aca="false">MAX(I15,J15,K15)</f>
        <v>0.508</v>
      </c>
      <c r="O15" s="41"/>
      <c r="P15" s="45"/>
      <c r="Q15" s="91"/>
      <c r="R15" s="91"/>
      <c r="S15" s="92" t="str">
        <f aca="false">IF(OR(Q15="",R15=""),"",IF(Q15&gt;R15,D15&amp;" win",IF(R15&gt;Q15,E15&amp;" win","Draw")))</f>
        <v/>
      </c>
      <c r="T15" s="92" t="str">
        <f aca="false">IF(U15="","",CHOOSE(MATCH(U15,{0,5,7,8,9,15},0),"Errou","Apenas Vencedor","Vencedor+Gols","Empate","Vencedor+Saldo","CRAVADA"))</f>
        <v/>
      </c>
      <c r="U15" s="93" t="str">
        <f aca="false">IF(OR(Q15="",R15=""),"",IF(AND(AA15=Q15,AB15=R15),15,IF(AND(AA15=AB15,Q15=R15),8,IF(AND(AA15&gt;AB15,Q15&gt;R15),IF((AA15-AB15)=(Q15-R15),9,IF(AA15=Q15,7,5)),IF(AND(AA15&lt;AB15,Q15&lt;R15),IF((AB15-AA15)=(R15-Q15),9,IF(AB15=R15,7,5)),0)))))</f>
        <v/>
      </c>
      <c r="AA15" s="1" t="n">
        <f aca="false">IFERROR(VALUE(LEFT(L15,FIND(" - ",L15)-1)),"")</f>
        <v>2</v>
      </c>
      <c r="AB15" s="1" t="n">
        <f aca="false">IFERROR(VALUE(MID(L15,FIND(" - ",L15)+3,10)),"")</f>
        <v>0</v>
      </c>
      <c r="AC15" s="1" t="n">
        <f aca="false">INDEX(Form_L20!$M$5:$M$52,MATCH(D15,Form_L20!$B$5:$B$52,0))*0.6+INDEX(Form_L20!$N$5:$N$52,MATCH(E15,Form_L20!$B$5:$B$52,0))*0.4</f>
        <v>1.61111111111111</v>
      </c>
      <c r="AD15" s="1" t="n">
        <f aca="false">INDEX(Form_L20!$M$5:$M$52,MATCH(E15,Form_L20!$B$5:$B$52,0))*0.6+INDEX(Form_L20!$N$5:$N$52,MATCH(D15,Form_L20!$B$5:$B$52,0))*0.4</f>
        <v>0.466666666666667</v>
      </c>
    </row>
    <row r="16" customFormat="false" ht="15" hidden="false" customHeight="true" outlineLevel="0" collapsed="false">
      <c r="A16" s="85" t="n">
        <v>11</v>
      </c>
      <c r="B16" s="85" t="s">
        <v>102</v>
      </c>
      <c r="C16" s="86" t="n">
        <v>46187</v>
      </c>
      <c r="D16" s="87" t="s">
        <v>101</v>
      </c>
      <c r="E16" s="87" t="s">
        <v>104</v>
      </c>
      <c r="F16" s="88" t="n">
        <f aca="false">ROUND((INDEX(Form_L20!$R$5:$R$52,MATCH(D16,Form_L20!$B$5:$B$52,0))*40+MIN(2,MAX(-2.5,INDEX(Form_L20!$M$5:$M$52,MATCH(D16,Form_L20!$B$5:$B$52,0))-INDEX(Form_L20!$N$5:$N$52,MATCH(D16,Form_L20!$B$5:$B$52,0))))*8+MIN(1.3,MAX(-0.7,1.3-INDEX(Form_L20!$N$5:$N$52,MATCH(D16,Form_L20!$B$5:$B$52,0))))*6)*INDEX(Form_L20!$Q$5:$Q$52,MATCH(D16,Form_L20!$B$5:$B$52,0))+INDEX(Tactics!$J$5:$J$52,MATCH(D16,Tactics!$B$5:$B$52,0))*0.3+INDEX(Tactics!$H$5:$H$52,MATCH(D16,Tactics!$B$5:$B$52,0))*1.5,1)</f>
        <v>80.4</v>
      </c>
      <c r="G16" s="88" t="n">
        <f aca="false">ROUND((INDEX(Form_L20!$R$5:$R$52,MATCH(E16,Form_L20!$B$5:$B$52,0))*40+MIN(2,MAX(-2.5,INDEX(Form_L20!$M$5:$M$52,MATCH(E16,Form_L20!$B$5:$B$52,0))-INDEX(Form_L20!$N$5:$N$52,MATCH(E16,Form_L20!$B$5:$B$52,0))))*8+MIN(1.3,MAX(-0.7,1.3-INDEX(Form_L20!$N$5:$N$52,MATCH(E16,Form_L20!$B$5:$B$52,0))))*6)*INDEX(Form_L20!$Q$5:$Q$52,MATCH(E16,Form_L20!$B$5:$B$52,0))+INDEX(Tactics!$J$5:$J$52,MATCH(E16,Tactics!$B$5:$B$52,0))*0.3+INDEX(Tactics!$H$5:$H$52,MATCH(E16,Tactics!$B$5:$B$52,0))*1.5,1)</f>
        <v>76.5</v>
      </c>
      <c r="H16" s="89" t="n">
        <f aca="false">F16-G16</f>
        <v>3.90000000000001</v>
      </c>
      <c r="I16" s="42" t="n">
        <f aca="false">ROUND((1/(1+10^(-H16/15)))*(1-J16),3)</f>
        <v>0.336</v>
      </c>
      <c r="J16" s="42" t="n">
        <f aca="false">ROUND(MAX(0.19,0.56-ABS(H16)/48),3)</f>
        <v>0.479</v>
      </c>
      <c r="K16" s="42" t="n">
        <f aca="false">ROUND(1-I16-J16,3)</f>
        <v>0.185</v>
      </c>
      <c r="L16" s="90" t="str">
        <f aca="false">IF(AND(J16&gt;=I16,J16&gt;=K16),MAX(0,ROUND((AC16+AD16)/2,0))&amp;" - "&amp;MAX(0,ROUND((AC16+AD16)/2,0)),IF(I16&gt;=K16,MAX(ROUND(AC16+0.35,0),MAX(0,ROUND(AD16-0.15,0))+1)&amp;" - "&amp;MAX(0,ROUND(AD16-0.15,0)),MAX(0,ROUND(AC16-0.15,0))&amp;" - "&amp;MAX(ROUND(AD16+0.35,0),MAX(0,ROUND(AC16-0.15,0))+1)))</f>
        <v>2 - 2</v>
      </c>
      <c r="M16" s="60" t="str">
        <f aca="false">IF(AND(J16&gt;=I16,J16&gt;=K16),"Draw",IF(I16&gt;=K16,D16&amp;" win",E16&amp;" win"))</f>
        <v>Draw</v>
      </c>
      <c r="N16" s="42" t="n">
        <f aca="false">MAX(I16,J16,K16)</f>
        <v>0.479</v>
      </c>
      <c r="O16" s="41"/>
      <c r="P16" s="45"/>
      <c r="Q16" s="91"/>
      <c r="R16" s="91"/>
      <c r="S16" s="92" t="str">
        <f aca="false">IF(OR(Q16="",R16=""),"",IF(Q16&gt;R16,D16&amp;" win",IF(R16&gt;Q16,E16&amp;" win","Draw")))</f>
        <v/>
      </c>
      <c r="T16" s="92" t="str">
        <f aca="false">IF(U16="","",CHOOSE(MATCH(U16,{0,5,7,8,9,15},0),"Errou","Apenas Vencedor","Vencedor+Gols","Empate","Vencedor+Saldo","CRAVADA"))</f>
        <v/>
      </c>
      <c r="U16" s="93" t="str">
        <f aca="false">IF(OR(Q16="",R16=""),"",IF(AND(AA16=Q16,AB16=R16),15,IF(AND(AA16=AB16,Q16=R16),8,IF(AND(AA16&gt;AB16,Q16&gt;R16),IF((AA16-AB16)=(Q16-R16),9,IF(AA16=Q16,7,5)),IF(AND(AA16&lt;AB16,Q16&lt;R16),IF((AB16-AA16)=(R16-Q16),9,IF(AB16=R16,7,5)),0)))))</f>
        <v/>
      </c>
      <c r="AA16" s="1" t="n">
        <f aca="false">IFERROR(VALUE(LEFT(L16,FIND(" - ",L16)-1)),"")</f>
        <v>2</v>
      </c>
      <c r="AB16" s="1" t="n">
        <f aca="false">IFERROR(VALUE(MID(L16,FIND(" - ",L16)+3,10)),"")</f>
        <v>2</v>
      </c>
      <c r="AC16" s="1" t="n">
        <f aca="false">INDEX(Form_L20!$M$5:$M$52,MATCH(D16,Form_L20!$B$5:$B$52,0))*0.6+INDEX(Form_L20!$N$5:$N$52,MATCH(E16,Form_L20!$B$5:$B$52,0))*0.4</f>
        <v>1.48</v>
      </c>
      <c r="AD16" s="1" t="n">
        <f aca="false">INDEX(Form_L20!$M$5:$M$52,MATCH(E16,Form_L20!$B$5:$B$52,0))*0.6+INDEX(Form_L20!$N$5:$N$52,MATCH(D16,Form_L20!$B$5:$B$52,0))*0.4</f>
        <v>1.8575</v>
      </c>
    </row>
    <row r="17" customFormat="false" ht="15" hidden="false" customHeight="true" outlineLevel="0" collapsed="false">
      <c r="A17" s="85" t="n">
        <v>12</v>
      </c>
      <c r="B17" s="85" t="s">
        <v>102</v>
      </c>
      <c r="C17" s="86" t="n">
        <v>46187</v>
      </c>
      <c r="D17" s="87" t="s">
        <v>107</v>
      </c>
      <c r="E17" s="87" t="s">
        <v>106</v>
      </c>
      <c r="F17" s="88" t="n">
        <f aca="false">ROUND((INDEX(Form_L20!$R$5:$R$52,MATCH(D17,Form_L20!$B$5:$B$52,0))*40+MIN(2,MAX(-2.5,INDEX(Form_L20!$M$5:$M$52,MATCH(D17,Form_L20!$B$5:$B$52,0))-INDEX(Form_L20!$N$5:$N$52,MATCH(D17,Form_L20!$B$5:$B$52,0))))*8+MIN(1.3,MAX(-0.7,1.3-INDEX(Form_L20!$N$5:$N$52,MATCH(D17,Form_L20!$B$5:$B$52,0))))*6)*INDEX(Form_L20!$Q$5:$Q$52,MATCH(D17,Form_L20!$B$5:$B$52,0))+INDEX(Tactics!$J$5:$J$52,MATCH(D17,Tactics!$B$5:$B$52,0))*0.3+INDEX(Tactics!$H$5:$H$52,MATCH(D17,Tactics!$B$5:$B$52,0))*1.5,1)</f>
        <v>37.1</v>
      </c>
      <c r="G17" s="88" t="n">
        <f aca="false">ROUND((INDEX(Form_L20!$R$5:$R$52,MATCH(E17,Form_L20!$B$5:$B$52,0))*40+MIN(2,MAX(-2.5,INDEX(Form_L20!$M$5:$M$52,MATCH(E17,Form_L20!$B$5:$B$52,0))-INDEX(Form_L20!$N$5:$N$52,MATCH(E17,Form_L20!$B$5:$B$52,0))))*8+MIN(1.3,MAX(-0.7,1.3-INDEX(Form_L20!$N$5:$N$52,MATCH(E17,Form_L20!$B$5:$B$52,0))))*6)*INDEX(Form_L20!$Q$5:$Q$52,MATCH(E17,Form_L20!$B$5:$B$52,0))+INDEX(Tactics!$J$5:$J$52,MATCH(E17,Tactics!$B$5:$B$52,0))*0.3+INDEX(Tactics!$H$5:$H$52,MATCH(E17,Tactics!$B$5:$B$52,0))*1.5,1)</f>
        <v>76.1</v>
      </c>
      <c r="H17" s="89" t="n">
        <f aca="false">F17-G17</f>
        <v>-39</v>
      </c>
      <c r="I17" s="42" t="n">
        <f aca="false">ROUND((1/(1+10^(-H17/15)))*(1-J17),3)</f>
        <v>0.002</v>
      </c>
      <c r="J17" s="42" t="n">
        <f aca="false">ROUND(MAX(0.19,0.56-ABS(H17)/48),3)</f>
        <v>0.19</v>
      </c>
      <c r="K17" s="42" t="n">
        <f aca="false">ROUND(1-I17-J17,3)</f>
        <v>0.808</v>
      </c>
      <c r="L17" s="90" t="str">
        <f aca="false">IF(AND(J17&gt;=I17,J17&gt;=K17),MAX(0,ROUND((AC17+AD17)/2,0))&amp;" - "&amp;MAX(0,ROUND((AC17+AD17)/2,0)),IF(I17&gt;=K17,MAX(ROUND(AC17+0.35,0),MAX(0,ROUND(AD17-0.15,0))+1)&amp;" - "&amp;MAX(0,ROUND(AD17-0.15,0)),MAX(0,ROUND(AC17-0.15,0))&amp;" - "&amp;MAX(ROUND(AD17+0.35,0),MAX(0,ROUND(AC17-0.15,0))+1)))</f>
        <v>1 - 2</v>
      </c>
      <c r="M17" s="60" t="str">
        <f aca="false">IF(AND(J17&gt;=I17,J17&gt;=K17),"Draw",IF(I17&gt;=K17,D17&amp;" win",E17&amp;" win"))</f>
        <v>Tunisia win</v>
      </c>
      <c r="N17" s="42" t="n">
        <f aca="false">MAX(I17,J17,K17)</f>
        <v>0.808</v>
      </c>
      <c r="O17" s="41"/>
      <c r="P17" s="45"/>
      <c r="Q17" s="91"/>
      <c r="R17" s="91"/>
      <c r="S17" s="92" t="str">
        <f aca="false">IF(OR(Q17="",R17=""),"",IF(Q17&gt;R17,D17&amp;" win",IF(R17&gt;Q17,E17&amp;" win","Draw")))</f>
        <v/>
      </c>
      <c r="T17" s="92" t="str">
        <f aca="false">IF(U17="","",CHOOSE(MATCH(U17,{0,5,7,8,9,15},0),"Errou","Apenas Vencedor","Vencedor+Gols","Empate","Vencedor+Saldo","CRAVADA"))</f>
        <v/>
      </c>
      <c r="U17" s="93" t="str">
        <f aca="false">IF(OR(Q17="",R17=""),"",IF(AND(AA17=Q17,AB17=R17),15,IF(AND(AA17=AB17,Q17=R17),8,IF(AND(AA17&gt;AB17,Q17&gt;R17),IF((AA17-AB17)=(Q17-R17),9,IF(AA17=Q17,7,5)),IF(AND(AA17&lt;AB17,Q17&lt;R17),IF((AB17-AA17)=(R17-Q17),9,IF(AB17=R17,7,5)),0)))))</f>
        <v/>
      </c>
      <c r="AA17" s="1" t="n">
        <f aca="false">IFERROR(VALUE(LEFT(L17,FIND(" - ",L17)-1)),"")</f>
        <v>1</v>
      </c>
      <c r="AB17" s="1" t="n">
        <f aca="false">IFERROR(VALUE(MID(L17,FIND(" - ",L17)+3,10)),"")</f>
        <v>2</v>
      </c>
      <c r="AC17" s="1" t="n">
        <f aca="false">INDEX(Form_L20!$M$5:$M$52,MATCH(D17,Form_L20!$B$5:$B$52,0))*0.6+INDEX(Form_L20!$N$5:$N$52,MATCH(E17,Form_L20!$B$5:$B$52,0))*0.4</f>
        <v>0.75</v>
      </c>
      <c r="AD17" s="1" t="n">
        <f aca="false">INDEX(Form_L20!$M$5:$M$52,MATCH(E17,Form_L20!$B$5:$B$52,0))*0.6+INDEX(Form_L20!$N$5:$N$52,MATCH(D17,Form_L20!$B$5:$B$52,0))*0.4</f>
        <v>2.07</v>
      </c>
    </row>
    <row r="18" customFormat="false" ht="15" hidden="false" customHeight="true" outlineLevel="0" collapsed="false">
      <c r="A18" s="85" t="n">
        <v>13</v>
      </c>
      <c r="B18" s="85" t="s">
        <v>118</v>
      </c>
      <c r="C18" s="86" t="n">
        <v>46188</v>
      </c>
      <c r="D18" s="87" t="s">
        <v>117</v>
      </c>
      <c r="E18" s="87" t="s">
        <v>124</v>
      </c>
      <c r="F18" s="88" t="n">
        <f aca="false">ROUND((INDEX(Form_L20!$R$5:$R$52,MATCH(D18,Form_L20!$B$5:$B$52,0))*40+MIN(2,MAX(-2.5,INDEX(Form_L20!$M$5:$M$52,MATCH(D18,Form_L20!$B$5:$B$52,0))-INDEX(Form_L20!$N$5:$N$52,MATCH(D18,Form_L20!$B$5:$B$52,0))))*8+MIN(1.3,MAX(-0.7,1.3-INDEX(Form_L20!$N$5:$N$52,MATCH(D18,Form_L20!$B$5:$B$52,0))))*6)*INDEX(Form_L20!$Q$5:$Q$52,MATCH(D18,Form_L20!$B$5:$B$52,0))+INDEX(Tactics!$J$5:$J$52,MATCH(D18,Tactics!$B$5:$B$52,0))*0.3+INDEX(Tactics!$H$5:$H$52,MATCH(D18,Tactics!$B$5:$B$52,0))*1.5,1)</f>
        <v>90</v>
      </c>
      <c r="G18" s="88" t="n">
        <f aca="false">ROUND((INDEX(Form_L20!$R$5:$R$52,MATCH(E18,Form_L20!$B$5:$B$52,0))*40+MIN(2,MAX(-2.5,INDEX(Form_L20!$M$5:$M$52,MATCH(E18,Form_L20!$B$5:$B$52,0))-INDEX(Form_L20!$N$5:$N$52,MATCH(E18,Form_L20!$B$5:$B$52,0))))*8+MIN(1.3,MAX(-0.7,1.3-INDEX(Form_L20!$N$5:$N$52,MATCH(E18,Form_L20!$B$5:$B$52,0))))*6)*INDEX(Form_L20!$Q$5:$Q$52,MATCH(E18,Form_L20!$B$5:$B$52,0))+INDEX(Tactics!$J$5:$J$52,MATCH(E18,Tactics!$B$5:$B$52,0))*0.3+INDEX(Tactics!$H$5:$H$52,MATCH(E18,Tactics!$B$5:$B$52,0))*1.5,1)</f>
        <v>60.6</v>
      </c>
      <c r="H18" s="89" t="n">
        <f aca="false">F18-G18</f>
        <v>29.4</v>
      </c>
      <c r="I18" s="42" t="n">
        <f aca="false">ROUND((1/(1+10^(-H18/15)))*(1-J18),3)</f>
        <v>0.801</v>
      </c>
      <c r="J18" s="42" t="n">
        <f aca="false">ROUND(MAX(0.19,0.56-ABS(H18)/48),3)</f>
        <v>0.19</v>
      </c>
      <c r="K18" s="42" t="n">
        <f aca="false">ROUND(1-I18-J18,3)</f>
        <v>0.009</v>
      </c>
      <c r="L18" s="90" t="str">
        <f aca="false">IF(AND(J18&gt;=I18,J18&gt;=K18),MAX(0,ROUND((AC18+AD18)/2,0))&amp;" - "&amp;MAX(0,ROUND((AC18+AD18)/2,0)),IF(I18&gt;=K18,MAX(ROUND(AC18+0.35,0),MAX(0,ROUND(AD18-0.15,0))+1)&amp;" - "&amp;MAX(0,ROUND(AD18-0.15,0)),MAX(0,ROUND(AC18-0.15,0))&amp;" - "&amp;MAX(ROUND(AD18+0.35,0),MAX(0,ROUND(AC18-0.15,0))+1)))</f>
        <v>2 - 1</v>
      </c>
      <c r="M18" s="60" t="str">
        <f aca="false">IF(AND(J18&gt;=I18,J18&gt;=K18),"Draw",IF(I18&gt;=K18,D18&amp;" win",E18&amp;" win"))</f>
        <v>Spain win</v>
      </c>
      <c r="N18" s="42" t="n">
        <f aca="false">MAX(I18,J18,K18)</f>
        <v>0.801</v>
      </c>
      <c r="O18" s="41"/>
      <c r="P18" s="45"/>
      <c r="Q18" s="91"/>
      <c r="R18" s="91"/>
      <c r="S18" s="92" t="str">
        <f aca="false">IF(OR(Q18="",R18=""),"",IF(Q18&gt;R18,D18&amp;" win",IF(R18&gt;Q18,E18&amp;" win","Draw")))</f>
        <v/>
      </c>
      <c r="T18" s="92" t="str">
        <f aca="false">IF(U18="","",CHOOSE(MATCH(U18,{0,5,7,8,9,15},0),"Errou","Apenas Vencedor","Vencedor+Gols","Empate","Vencedor+Saldo","CRAVADA"))</f>
        <v/>
      </c>
      <c r="U18" s="93" t="str">
        <f aca="false">IF(OR(Q18="",R18=""),"",IF(AND(AA18=Q18,AB18=R18),15,IF(AND(AA18=AB18,Q18=R18),8,IF(AND(AA18&gt;AB18,Q18&gt;R18),IF((AA18-AB18)=(Q18-R18),9,IF(AA18=Q18,7,5)),IF(AND(AA18&lt;AB18,Q18&lt;R18),IF((AB18-AA18)=(R18-Q18),9,IF(AB18=R18,7,5)),0)))))</f>
        <v/>
      </c>
      <c r="AA18" s="1" t="n">
        <f aca="false">IFERROR(VALUE(LEFT(L18,FIND(" - ",L18)-1)),"")</f>
        <v>2</v>
      </c>
      <c r="AB18" s="1" t="n">
        <f aca="false">IFERROR(VALUE(MID(L18,FIND(" - ",L18)+3,10)),"")</f>
        <v>1</v>
      </c>
      <c r="AC18" s="1" t="n">
        <f aca="false">INDEX(Form_L20!$M$5:$M$52,MATCH(D18,Form_L20!$B$5:$B$52,0))*0.6+INDEX(Form_L20!$N$5:$N$52,MATCH(E18,Form_L20!$B$5:$B$52,0))*0.4</f>
        <v>1.76</v>
      </c>
      <c r="AD18" s="1" t="n">
        <f aca="false">INDEX(Form_L20!$M$5:$M$52,MATCH(E18,Form_L20!$B$5:$B$52,0))*0.6+INDEX(Form_L20!$N$5:$N$52,MATCH(D18,Form_L20!$B$5:$B$52,0))*0.4</f>
        <v>1.2</v>
      </c>
    </row>
    <row r="19" customFormat="false" ht="15" hidden="false" customHeight="true" outlineLevel="0" collapsed="false">
      <c r="A19" s="85" t="n">
        <v>14</v>
      </c>
      <c r="B19" s="85" t="s">
        <v>110</v>
      </c>
      <c r="C19" s="86" t="n">
        <v>46188</v>
      </c>
      <c r="D19" s="87" t="s">
        <v>109</v>
      </c>
      <c r="E19" s="87" t="s">
        <v>113</v>
      </c>
      <c r="F19" s="88" t="n">
        <f aca="false">ROUND((INDEX(Form_L20!$R$5:$R$52,MATCH(D19,Form_L20!$B$5:$B$52,0))*40+MIN(2,MAX(-2.5,INDEX(Form_L20!$M$5:$M$52,MATCH(D19,Form_L20!$B$5:$B$52,0))-INDEX(Form_L20!$N$5:$N$52,MATCH(D19,Form_L20!$B$5:$B$52,0))))*8+MIN(1.3,MAX(-0.7,1.3-INDEX(Form_L20!$N$5:$N$52,MATCH(D19,Form_L20!$B$5:$B$52,0))))*6)*INDEX(Form_L20!$Q$5:$Q$52,MATCH(D19,Form_L20!$B$5:$B$52,0))+INDEX(Tactics!$J$5:$J$52,MATCH(D19,Tactics!$B$5:$B$52,0))*0.3+INDEX(Tactics!$H$5:$H$52,MATCH(D19,Tactics!$B$5:$B$52,0))*1.5,1)</f>
        <v>71.7</v>
      </c>
      <c r="G19" s="88" t="n">
        <f aca="false">ROUND((INDEX(Form_L20!$R$5:$R$52,MATCH(E19,Form_L20!$B$5:$B$52,0))*40+MIN(2,MAX(-2.5,INDEX(Form_L20!$M$5:$M$52,MATCH(E19,Form_L20!$B$5:$B$52,0))-INDEX(Form_L20!$N$5:$N$52,MATCH(E19,Form_L20!$B$5:$B$52,0))))*8+MIN(1.3,MAX(-0.7,1.3-INDEX(Form_L20!$N$5:$N$52,MATCH(E19,Form_L20!$B$5:$B$52,0))))*6)*INDEX(Form_L20!$Q$5:$Q$52,MATCH(E19,Form_L20!$B$5:$B$52,0))+INDEX(Tactics!$J$5:$J$52,MATCH(E19,Tactics!$B$5:$B$52,0))*0.3+INDEX(Tactics!$H$5:$H$52,MATCH(E19,Tactics!$B$5:$B$52,0))*1.5,1)</f>
        <v>82.8</v>
      </c>
      <c r="H19" s="89" t="n">
        <f aca="false">F19-G19</f>
        <v>-11.1</v>
      </c>
      <c r="I19" s="42" t="n">
        <f aca="false">ROUND((1/(1+10^(-H19/15)))*(1-J19),3)</f>
        <v>0.103</v>
      </c>
      <c r="J19" s="42" t="n">
        <f aca="false">ROUND(MAX(0.19,0.56-ABS(H19)/48),3)</f>
        <v>0.329</v>
      </c>
      <c r="K19" s="42" t="n">
        <f aca="false">ROUND(1-I19-J19,3)</f>
        <v>0.568</v>
      </c>
      <c r="L19" s="90" t="str">
        <f aca="false">IF(AND(J19&gt;=I19,J19&gt;=K19),MAX(0,ROUND((AC19+AD19)/2,0))&amp;" - "&amp;MAX(0,ROUND((AC19+AD19)/2,0)),IF(I19&gt;=K19,MAX(ROUND(AC19+0.35,0),MAX(0,ROUND(AD19-0.15,0))+1)&amp;" - "&amp;MAX(0,ROUND(AD19-0.15,0)),MAX(0,ROUND(AC19-0.15,0))&amp;" - "&amp;MAX(ROUND(AD19+0.35,0),MAX(0,ROUND(AC19-0.15,0))+1)))</f>
        <v>1 - 2</v>
      </c>
      <c r="M19" s="60" t="str">
        <f aca="false">IF(AND(J19&gt;=I19,J19&gt;=K19),"Draw",IF(I19&gt;=K19,D19&amp;" win",E19&amp;" win"))</f>
        <v>Egypt win</v>
      </c>
      <c r="N19" s="42" t="n">
        <f aca="false">MAX(I19,J19,K19)</f>
        <v>0.568</v>
      </c>
      <c r="O19" s="41"/>
      <c r="P19" s="45"/>
      <c r="Q19" s="91"/>
      <c r="R19" s="91"/>
      <c r="S19" s="92" t="str">
        <f aca="false">IF(OR(Q19="",R19=""),"",IF(Q19&gt;R19,D19&amp;" win",IF(R19&gt;Q19,E19&amp;" win","Draw")))</f>
        <v/>
      </c>
      <c r="T19" s="92" t="str">
        <f aca="false">IF(U19="","",CHOOSE(MATCH(U19,{0,5,7,8,9,15},0),"Errou","Apenas Vencedor","Vencedor+Gols","Empate","Vencedor+Saldo","CRAVADA"))</f>
        <v/>
      </c>
      <c r="U19" s="93" t="str">
        <f aca="false">IF(OR(Q19="",R19=""),"",IF(AND(AA19=Q19,AB19=R19),15,IF(AND(AA19=AB19,Q19=R19),8,IF(AND(AA19&gt;AB19,Q19&gt;R19),IF((AA19-AB19)=(Q19-R19),9,IF(AA19=Q19,7,5)),IF(AND(AA19&lt;AB19,Q19&lt;R19),IF((AB19-AA19)=(R19-Q19),9,IF(AB19=R19,7,5)),0)))))</f>
        <v/>
      </c>
      <c r="AA19" s="1" t="n">
        <f aca="false">IFERROR(VALUE(LEFT(L19,FIND(" - ",L19)-1)),"")</f>
        <v>1</v>
      </c>
      <c r="AB19" s="1" t="n">
        <f aca="false">IFERROR(VALUE(MID(L19,FIND(" - ",L19)+3,10)),"")</f>
        <v>2</v>
      </c>
      <c r="AC19" s="1" t="n">
        <f aca="false">INDEX(Form_L20!$M$5:$M$52,MATCH(D19,Form_L20!$B$5:$B$52,0))*0.6+INDEX(Form_L20!$N$5:$N$52,MATCH(E19,Form_L20!$B$5:$B$52,0))*0.4</f>
        <v>1.25</v>
      </c>
      <c r="AD19" s="1" t="n">
        <f aca="false">INDEX(Form_L20!$M$5:$M$52,MATCH(E19,Form_L20!$B$5:$B$52,0))*0.6+INDEX(Form_L20!$N$5:$N$52,MATCH(D19,Form_L20!$B$5:$B$52,0))*0.4</f>
        <v>1.56</v>
      </c>
    </row>
    <row r="20" customFormat="false" ht="15" hidden="false" customHeight="true" outlineLevel="0" collapsed="false">
      <c r="A20" s="85" t="n">
        <v>15</v>
      </c>
      <c r="B20" s="85" t="s">
        <v>118</v>
      </c>
      <c r="C20" s="86" t="n">
        <v>46188</v>
      </c>
      <c r="D20" s="87" t="s">
        <v>122</v>
      </c>
      <c r="E20" s="87" t="s">
        <v>120</v>
      </c>
      <c r="F20" s="88" t="n">
        <f aca="false">ROUND((INDEX(Form_L20!$R$5:$R$52,MATCH(D20,Form_L20!$B$5:$B$52,0))*40+MIN(2,MAX(-2.5,INDEX(Form_L20!$M$5:$M$52,MATCH(D20,Form_L20!$B$5:$B$52,0))-INDEX(Form_L20!$N$5:$N$52,MATCH(D20,Form_L20!$B$5:$B$52,0))))*8+MIN(1.3,MAX(-0.7,1.3-INDEX(Form_L20!$N$5:$N$52,MATCH(D20,Form_L20!$B$5:$B$52,0))))*6)*INDEX(Form_L20!$Q$5:$Q$52,MATCH(D20,Form_L20!$B$5:$B$52,0))+INDEX(Tactics!$J$5:$J$52,MATCH(D20,Tactics!$B$5:$B$52,0))*0.3+INDEX(Tactics!$H$5:$H$52,MATCH(D20,Tactics!$B$5:$B$52,0))*1.5,1)</f>
        <v>46.5</v>
      </c>
      <c r="G20" s="88" t="n">
        <f aca="false">ROUND((INDEX(Form_L20!$R$5:$R$52,MATCH(E20,Form_L20!$B$5:$B$52,0))*40+MIN(2,MAX(-2.5,INDEX(Form_L20!$M$5:$M$52,MATCH(E20,Form_L20!$B$5:$B$52,0))-INDEX(Form_L20!$N$5:$N$52,MATCH(E20,Form_L20!$B$5:$B$52,0))))*8+MIN(1.3,MAX(-0.7,1.3-INDEX(Form_L20!$N$5:$N$52,MATCH(E20,Form_L20!$B$5:$B$52,0))))*6)*INDEX(Form_L20!$Q$5:$Q$52,MATCH(E20,Form_L20!$B$5:$B$52,0))+INDEX(Tactics!$J$5:$J$52,MATCH(E20,Tactics!$B$5:$B$52,0))*0.3+INDEX(Tactics!$H$5:$H$52,MATCH(E20,Tactics!$B$5:$B$52,0))*1.5,1)</f>
        <v>67.6</v>
      </c>
      <c r="H20" s="89" t="n">
        <f aca="false">F20-G20</f>
        <v>-21.1</v>
      </c>
      <c r="I20" s="42" t="n">
        <f aca="false">ROUND((1/(1+10^(-H20/15)))*(1-J20),3)</f>
        <v>0.031</v>
      </c>
      <c r="J20" s="42" t="n">
        <f aca="false">ROUND(MAX(0.19,0.56-ABS(H20)/48),3)</f>
        <v>0.19</v>
      </c>
      <c r="K20" s="42" t="n">
        <f aca="false">ROUND(1-I20-J20,3)</f>
        <v>0.779</v>
      </c>
      <c r="L20" s="90" t="str">
        <f aca="false">IF(AND(J20&gt;=I20,J20&gt;=K20),MAX(0,ROUND((AC20+AD20)/2,0))&amp;" - "&amp;MAX(0,ROUND((AC20+AD20)/2,0)),IF(I20&gt;=K20,MAX(ROUND(AC20+0.35,0),MAX(0,ROUND(AD20-0.15,0))+1)&amp;" - "&amp;MAX(0,ROUND(AD20-0.15,0)),MAX(0,ROUND(AC20-0.15,0))&amp;" - "&amp;MAX(ROUND(AD20+0.35,0),MAX(0,ROUND(AC20-0.15,0))+1)))</f>
        <v>1 - 2</v>
      </c>
      <c r="M20" s="60" t="str">
        <f aca="false">IF(AND(J20&gt;=I20,J20&gt;=K20),"Draw",IF(I20&gt;=K20,D20&amp;" win",E20&amp;" win"))</f>
        <v>Uruguay win</v>
      </c>
      <c r="N20" s="42" t="n">
        <f aca="false">MAX(I20,J20,K20)</f>
        <v>0.779</v>
      </c>
      <c r="O20" s="41"/>
      <c r="P20" s="45"/>
      <c r="Q20" s="91"/>
      <c r="R20" s="91"/>
      <c r="S20" s="92" t="str">
        <f aca="false">IF(OR(Q20="",R20=""),"",IF(Q20&gt;R20,D20&amp;" win",IF(R20&gt;Q20,E20&amp;" win","Draw")))</f>
        <v/>
      </c>
      <c r="T20" s="92" t="str">
        <f aca="false">IF(U20="","",CHOOSE(MATCH(U20,{0,5,7,8,9,15},0),"Errou","Apenas Vencedor","Vencedor+Gols","Empate","Vencedor+Saldo","CRAVADA"))</f>
        <v/>
      </c>
      <c r="U20" s="93" t="str">
        <f aca="false">IF(OR(Q20="",R20=""),"",IF(AND(AA20=Q20,AB20=R20),15,IF(AND(AA20=AB20,Q20=R20),8,IF(AND(AA20&gt;AB20,Q20&gt;R20),IF((AA20-AB20)=(Q20-R20),9,IF(AA20=Q20,7,5)),IF(AND(AA20&lt;AB20,Q20&lt;R20),IF((AB20-AA20)=(R20-Q20),9,IF(AB20=R20,7,5)),0)))))</f>
        <v/>
      </c>
      <c r="AA20" s="1" t="n">
        <f aca="false">IFERROR(VALUE(LEFT(L20,FIND(" - ",L20)-1)),"")</f>
        <v>1</v>
      </c>
      <c r="AB20" s="1" t="n">
        <f aca="false">IFERROR(VALUE(MID(L20,FIND(" - ",L20)+3,10)),"")</f>
        <v>2</v>
      </c>
      <c r="AC20" s="1" t="n">
        <f aca="false">INDEX(Form_L20!$M$5:$M$52,MATCH(D20,Form_L20!$B$5:$B$52,0))*0.6+INDEX(Form_L20!$N$5:$N$52,MATCH(E20,Form_L20!$B$5:$B$52,0))*0.4</f>
        <v>0.816666666666667</v>
      </c>
      <c r="AD20" s="1" t="n">
        <f aca="false">INDEX(Form_L20!$M$5:$M$52,MATCH(E20,Form_L20!$B$5:$B$52,0))*0.6+INDEX(Form_L20!$N$5:$N$52,MATCH(D20,Form_L20!$B$5:$B$52,0))*0.4</f>
        <v>1.19166666666667</v>
      </c>
    </row>
    <row r="21" customFormat="false" ht="15" hidden="false" customHeight="true" outlineLevel="0" collapsed="false">
      <c r="A21" s="85" t="n">
        <v>16</v>
      </c>
      <c r="B21" s="85" t="s">
        <v>110</v>
      </c>
      <c r="C21" s="86" t="n">
        <v>46188</v>
      </c>
      <c r="D21" s="87" t="s">
        <v>112</v>
      </c>
      <c r="E21" s="87" t="s">
        <v>114</v>
      </c>
      <c r="F21" s="88" t="n">
        <f aca="false">ROUND((INDEX(Form_L20!$R$5:$R$52,MATCH(D21,Form_L20!$B$5:$B$52,0))*40+MIN(2,MAX(-2.5,INDEX(Form_L20!$M$5:$M$52,MATCH(D21,Form_L20!$B$5:$B$52,0))-INDEX(Form_L20!$N$5:$N$52,MATCH(D21,Form_L20!$B$5:$B$52,0))))*8+MIN(1.3,MAX(-0.7,1.3-INDEX(Form_L20!$N$5:$N$52,MATCH(D21,Form_L20!$B$5:$B$52,0))))*6)*INDEX(Form_L20!$Q$5:$Q$52,MATCH(D21,Form_L20!$B$5:$B$52,0))+INDEX(Tactics!$J$5:$J$52,MATCH(D21,Tactics!$B$5:$B$52,0))*0.3+INDEX(Tactics!$H$5:$H$52,MATCH(D21,Tactics!$B$5:$B$52,0))*1.5,1)</f>
        <v>67.9</v>
      </c>
      <c r="G21" s="88" t="n">
        <f aca="false">ROUND((INDEX(Form_L20!$R$5:$R$52,MATCH(E21,Form_L20!$B$5:$B$52,0))*40+MIN(2,MAX(-2.5,INDEX(Form_L20!$M$5:$M$52,MATCH(E21,Form_L20!$B$5:$B$52,0))-INDEX(Form_L20!$N$5:$N$52,MATCH(E21,Form_L20!$B$5:$B$52,0))))*8+MIN(1.3,MAX(-0.7,1.3-INDEX(Form_L20!$N$5:$N$52,MATCH(E21,Form_L20!$B$5:$B$52,0))))*6)*INDEX(Form_L20!$Q$5:$Q$52,MATCH(E21,Form_L20!$B$5:$B$52,0))+INDEX(Tactics!$J$5:$J$52,MATCH(E21,Tactics!$B$5:$B$52,0))*0.3+INDEX(Tactics!$H$5:$H$52,MATCH(E21,Tactics!$B$5:$B$52,0))*1.5,1)</f>
        <v>40.4</v>
      </c>
      <c r="H21" s="89" t="n">
        <f aca="false">F21-G21</f>
        <v>27.5</v>
      </c>
      <c r="I21" s="42" t="n">
        <f aca="false">ROUND((1/(1+10^(-H21/15)))*(1-J21),3)</f>
        <v>0.798</v>
      </c>
      <c r="J21" s="42" t="n">
        <f aca="false">ROUND(MAX(0.19,0.56-ABS(H21)/48),3)</f>
        <v>0.19</v>
      </c>
      <c r="K21" s="42" t="n">
        <f aca="false">ROUND(1-I21-J21,3)</f>
        <v>0.012</v>
      </c>
      <c r="L21" s="90" t="str">
        <f aca="false">IF(AND(J21&gt;=I21,J21&gt;=K21),MAX(0,ROUND((AC21+AD21)/2,0))&amp;" - "&amp;MAX(0,ROUND((AC21+AD21)/2,0)),IF(I21&gt;=K21,MAX(ROUND(AC21+0.35,0),MAX(0,ROUND(AD21-0.15,0))+1)&amp;" - "&amp;MAX(0,ROUND(AD21-0.15,0)),MAX(0,ROUND(AC21-0.15,0))&amp;" - "&amp;MAX(ROUND(AD21+0.35,0),MAX(0,ROUND(AC21-0.15,0))+1)))</f>
        <v>2 - 1</v>
      </c>
      <c r="M21" s="60" t="str">
        <f aca="false">IF(AND(J21&gt;=I21,J21&gt;=K21),"Draw",IF(I21&gt;=K21,D21&amp;" win",E21&amp;" win"))</f>
        <v>Iran win</v>
      </c>
      <c r="N21" s="42" t="n">
        <f aca="false">MAX(I21,J21,K21)</f>
        <v>0.798</v>
      </c>
      <c r="O21" s="41"/>
      <c r="P21" s="45"/>
      <c r="Q21" s="91"/>
      <c r="R21" s="91"/>
      <c r="S21" s="92" t="str">
        <f aca="false">IF(OR(Q21="",R21=""),"",IF(Q21&gt;R21,D21&amp;" win",IF(R21&gt;Q21,E21&amp;" win","Draw")))</f>
        <v/>
      </c>
      <c r="T21" s="92" t="str">
        <f aca="false">IF(U21="","",CHOOSE(MATCH(U21,{0,5,7,8,9,15},0),"Errou","Apenas Vencedor","Vencedor+Gols","Empate","Vencedor+Saldo","CRAVADA"))</f>
        <v/>
      </c>
      <c r="U21" s="93" t="str">
        <f aca="false">IF(OR(Q21="",R21=""),"",IF(AND(AA21=Q21,AB21=R21),15,IF(AND(AA21=AB21,Q21=R21),8,IF(AND(AA21&gt;AB21,Q21&gt;R21),IF((AA21-AB21)=(Q21-R21),9,IF(AA21=Q21,7,5)),IF(AND(AA21&lt;AB21,Q21&lt;R21),IF((AB21-AA21)=(R21-Q21),9,IF(AB21=R21,7,5)),0)))))</f>
        <v/>
      </c>
      <c r="AA21" s="1" t="n">
        <f aca="false">IFERROR(VALUE(LEFT(L21,FIND(" - ",L21)-1)),"")</f>
        <v>2</v>
      </c>
      <c r="AB21" s="1" t="n">
        <f aca="false">IFERROR(VALUE(MID(L21,FIND(" - ",L21)+3,10)),"")</f>
        <v>1</v>
      </c>
      <c r="AC21" s="1" t="n">
        <f aca="false">INDEX(Form_L20!$M$5:$M$52,MATCH(D21,Form_L20!$B$5:$B$52,0))*0.6+INDEX(Form_L20!$N$5:$N$52,MATCH(E21,Form_L20!$B$5:$B$52,0))*0.4</f>
        <v>1.72</v>
      </c>
      <c r="AD21" s="1" t="n">
        <f aca="false">INDEX(Form_L20!$M$5:$M$52,MATCH(E21,Form_L20!$B$5:$B$52,0))*0.6+INDEX(Form_L20!$N$5:$N$52,MATCH(D21,Form_L20!$B$5:$B$52,0))*0.4</f>
        <v>1</v>
      </c>
    </row>
    <row r="22" customFormat="false" ht="15" hidden="false" customHeight="true" outlineLevel="0" collapsed="false">
      <c r="A22" s="85" t="n">
        <v>17</v>
      </c>
      <c r="B22" s="85" t="s">
        <v>126</v>
      </c>
      <c r="C22" s="86" t="n">
        <v>46189</v>
      </c>
      <c r="D22" s="87" t="s">
        <v>125</v>
      </c>
      <c r="E22" s="87" t="s">
        <v>128</v>
      </c>
      <c r="F22" s="88" t="n">
        <f aca="false">ROUND((INDEX(Form_L20!$R$5:$R$52,MATCH(D22,Form_L20!$B$5:$B$52,0))*40+MIN(2,MAX(-2.5,INDEX(Form_L20!$M$5:$M$52,MATCH(D22,Form_L20!$B$5:$B$52,0))-INDEX(Form_L20!$N$5:$N$52,MATCH(D22,Form_L20!$B$5:$B$52,0))))*8+MIN(1.3,MAX(-0.7,1.3-INDEX(Form_L20!$N$5:$N$52,MATCH(D22,Form_L20!$B$5:$B$52,0))))*6)*INDEX(Form_L20!$Q$5:$Q$52,MATCH(D22,Form_L20!$B$5:$B$52,0))+INDEX(Tactics!$J$5:$J$52,MATCH(D22,Tactics!$B$5:$B$52,0))*0.3+INDEX(Tactics!$H$5:$H$52,MATCH(D22,Tactics!$B$5:$B$52,0))*1.5,1)</f>
        <v>88.1</v>
      </c>
      <c r="G22" s="88" t="n">
        <f aca="false">ROUND((INDEX(Form_L20!$R$5:$R$52,MATCH(E22,Form_L20!$B$5:$B$52,0))*40+MIN(2,MAX(-2.5,INDEX(Form_L20!$M$5:$M$52,MATCH(E22,Form_L20!$B$5:$B$52,0))-INDEX(Form_L20!$N$5:$N$52,MATCH(E22,Form_L20!$B$5:$B$52,0))))*8+MIN(1.3,MAX(-0.7,1.3-INDEX(Form_L20!$N$5:$N$52,MATCH(E22,Form_L20!$B$5:$B$52,0))))*6)*INDEX(Form_L20!$Q$5:$Q$52,MATCH(E22,Form_L20!$B$5:$B$52,0))+INDEX(Tactics!$J$5:$J$52,MATCH(E22,Tactics!$B$5:$B$52,0))*0.3+INDEX(Tactics!$H$5:$H$52,MATCH(E22,Tactics!$B$5:$B$52,0))*1.5,1)</f>
        <v>83.7</v>
      </c>
      <c r="H22" s="89" t="n">
        <f aca="false">F22-G22</f>
        <v>4.39999999999999</v>
      </c>
      <c r="I22" s="42" t="n">
        <f aca="false">ROUND((1/(1+10^(-H22/15)))*(1-J22),3)</f>
        <v>0.353</v>
      </c>
      <c r="J22" s="42" t="n">
        <f aca="false">ROUND(MAX(0.19,0.56-ABS(H22)/48),3)</f>
        <v>0.468</v>
      </c>
      <c r="K22" s="42" t="n">
        <f aca="false">ROUND(1-I22-J22,3)</f>
        <v>0.179</v>
      </c>
      <c r="L22" s="90" t="str">
        <f aca="false">IF(AND(J22&gt;=I22,J22&gt;=K22),MAX(0,ROUND((AC22+AD22)/2,0))&amp;" - "&amp;MAX(0,ROUND((AC22+AD22)/2,0)),IF(I22&gt;=K22,MAX(ROUND(AC22+0.35,0),MAX(0,ROUND(AD22-0.15,0))+1)&amp;" - "&amp;MAX(0,ROUND(AD22-0.15,0)),MAX(0,ROUND(AC22-0.15,0))&amp;" - "&amp;MAX(ROUND(AD22+0.35,0),MAX(0,ROUND(AC22-0.15,0))+1)))</f>
        <v>2 - 2</v>
      </c>
      <c r="M22" s="60" t="str">
        <f aca="false">IF(AND(J22&gt;=I22,J22&gt;=K22),"Draw",IF(I22&gt;=K22,D22&amp;" win",E22&amp;" win"))</f>
        <v>Draw</v>
      </c>
      <c r="N22" s="42" t="n">
        <f aca="false">MAX(I22,J22,K22)</f>
        <v>0.468</v>
      </c>
      <c r="O22" s="41"/>
      <c r="P22" s="45"/>
      <c r="Q22" s="91"/>
      <c r="R22" s="91"/>
      <c r="S22" s="92" t="str">
        <f aca="false">IF(OR(Q22="",R22=""),"",IF(Q22&gt;R22,D22&amp;" win",IF(R22&gt;Q22,E22&amp;" win","Draw")))</f>
        <v/>
      </c>
      <c r="T22" s="92" t="str">
        <f aca="false">IF(U22="","",CHOOSE(MATCH(U22,{0,5,7,8,9,15},0),"Errou","Apenas Vencedor","Vencedor+Gols","Empate","Vencedor+Saldo","CRAVADA"))</f>
        <v/>
      </c>
      <c r="U22" s="93" t="str">
        <f aca="false">IF(OR(Q22="",R22=""),"",IF(AND(AA22=Q22,AB22=R22),15,IF(AND(AA22=AB22,Q22=R22),8,IF(AND(AA22&gt;AB22,Q22&gt;R22),IF((AA22-AB22)=(Q22-R22),9,IF(AA22=Q22,7,5)),IF(AND(AA22&lt;AB22,Q22&lt;R22),IF((AB22-AA22)=(R22-Q22),9,IF(AB22=R22,7,5)),0)))))</f>
        <v/>
      </c>
      <c r="AA22" s="1" t="n">
        <f aca="false">IFERROR(VALUE(LEFT(L22,FIND(" - ",L22)-1)),"")</f>
        <v>2</v>
      </c>
      <c r="AB22" s="1" t="n">
        <f aca="false">IFERROR(VALUE(MID(L22,FIND(" - ",L22)+3,10)),"")</f>
        <v>2</v>
      </c>
      <c r="AC22" s="1" t="n">
        <f aca="false">INDEX(Form_L20!$M$5:$M$52,MATCH(D22,Form_L20!$B$5:$B$52,0))*0.6+INDEX(Form_L20!$N$5:$N$52,MATCH(E22,Form_L20!$B$5:$B$52,0))*0.4</f>
        <v>1.47</v>
      </c>
      <c r="AD22" s="1" t="n">
        <f aca="false">INDEX(Form_L20!$M$5:$M$52,MATCH(E22,Form_L20!$B$5:$B$52,0))*0.6+INDEX(Form_L20!$N$5:$N$52,MATCH(D22,Form_L20!$B$5:$B$52,0))*0.4</f>
        <v>1.54</v>
      </c>
    </row>
    <row r="23" customFormat="false" ht="15" hidden="false" customHeight="true" outlineLevel="0" collapsed="false">
      <c r="A23" s="85" t="n">
        <v>18</v>
      </c>
      <c r="B23" s="85" t="s">
        <v>126</v>
      </c>
      <c r="C23" s="86" t="n">
        <v>46189</v>
      </c>
      <c r="D23" s="87" t="s">
        <v>132</v>
      </c>
      <c r="E23" s="87" t="s">
        <v>130</v>
      </c>
      <c r="F23" s="88" t="n">
        <f aca="false">ROUND((INDEX(Form_L20!$R$5:$R$52,MATCH(D23,Form_L20!$B$5:$B$52,0))*40+MIN(2,MAX(-2.5,INDEX(Form_L20!$M$5:$M$52,MATCH(D23,Form_L20!$B$5:$B$52,0))-INDEX(Form_L20!$N$5:$N$52,MATCH(D23,Form_L20!$B$5:$B$52,0))))*8+MIN(1.3,MAX(-0.7,1.3-INDEX(Form_L20!$N$5:$N$52,MATCH(D23,Form_L20!$B$5:$B$52,0))))*6)*INDEX(Form_L20!$Q$5:$Q$52,MATCH(D23,Form_L20!$B$5:$B$52,0))+INDEX(Tactics!$J$5:$J$52,MATCH(D23,Tactics!$B$5:$B$52,0))*0.3+INDEX(Tactics!$H$5:$H$52,MATCH(D23,Tactics!$B$5:$B$52,0))*1.5,1)</f>
        <v>49.7</v>
      </c>
      <c r="G23" s="88" t="n">
        <f aca="false">ROUND((INDEX(Form_L20!$R$5:$R$52,MATCH(E23,Form_L20!$B$5:$B$52,0))*40+MIN(2,MAX(-2.5,INDEX(Form_L20!$M$5:$M$52,MATCH(E23,Form_L20!$B$5:$B$52,0))-INDEX(Form_L20!$N$5:$N$52,MATCH(E23,Form_L20!$B$5:$B$52,0))))*8+MIN(1.3,MAX(-0.7,1.3-INDEX(Form_L20!$N$5:$N$52,MATCH(E23,Form_L20!$B$5:$B$52,0))))*6)*INDEX(Form_L20!$Q$5:$Q$52,MATCH(E23,Form_L20!$B$5:$B$52,0))+INDEX(Tactics!$J$5:$J$52,MATCH(E23,Tactics!$B$5:$B$52,0))*0.3+INDEX(Tactics!$H$5:$H$52,MATCH(E23,Tactics!$B$5:$B$52,0))*1.5,1)</f>
        <v>79.4</v>
      </c>
      <c r="H23" s="89" t="n">
        <f aca="false">F23-G23</f>
        <v>-29.7</v>
      </c>
      <c r="I23" s="42" t="n">
        <f aca="false">ROUND((1/(1+10^(-H23/15)))*(1-J23),3)</f>
        <v>0.008</v>
      </c>
      <c r="J23" s="42" t="n">
        <f aca="false">ROUND(MAX(0.19,0.56-ABS(H23)/48),3)</f>
        <v>0.19</v>
      </c>
      <c r="K23" s="42" t="n">
        <f aca="false">ROUND(1-I23-J23,3)</f>
        <v>0.802</v>
      </c>
      <c r="L23" s="90" t="str">
        <f aca="false">IF(AND(J23&gt;=I23,J23&gt;=K23),MAX(0,ROUND((AC23+AD23)/2,0))&amp;" - "&amp;MAX(0,ROUND((AC23+AD23)/2,0)),IF(I23&gt;=K23,MAX(ROUND(AC23+0.35,0),MAX(0,ROUND(AD23-0.15,0))+1)&amp;" - "&amp;MAX(0,ROUND(AD23-0.15,0)),MAX(0,ROUND(AC23-0.15,0))&amp;" - "&amp;MAX(ROUND(AD23+0.35,0),MAX(0,ROUND(AC23-0.15,0))+1)))</f>
        <v>1 - 3</v>
      </c>
      <c r="M23" s="60" t="str">
        <f aca="false">IF(AND(J23&gt;=I23,J23&gt;=K23),"Draw",IF(I23&gt;=K23,D23&amp;" win",E23&amp;" win"))</f>
        <v>Norway win</v>
      </c>
      <c r="N23" s="42" t="n">
        <f aca="false">MAX(I23,J23,K23)</f>
        <v>0.802</v>
      </c>
      <c r="O23" s="41"/>
      <c r="P23" s="45"/>
      <c r="Q23" s="91"/>
      <c r="R23" s="91"/>
      <c r="S23" s="92" t="str">
        <f aca="false">IF(OR(Q23="",R23=""),"",IF(Q23&gt;R23,D23&amp;" win",IF(R23&gt;Q23,E23&amp;" win","Draw")))</f>
        <v/>
      </c>
      <c r="T23" s="92" t="str">
        <f aca="false">IF(U23="","",CHOOSE(MATCH(U23,{0,5,7,8,9,15},0),"Errou","Apenas Vencedor","Vencedor+Gols","Empate","Vencedor+Saldo","CRAVADA"))</f>
        <v/>
      </c>
      <c r="U23" s="93" t="str">
        <f aca="false">IF(OR(Q23="",R23=""),"",IF(AND(AA23=Q23,AB23=R23),15,IF(AND(AA23=AB23,Q23=R23),8,IF(AND(AA23&gt;AB23,Q23&gt;R23),IF((AA23-AB23)=(Q23-R23),9,IF(AA23=Q23,7,5)),IF(AND(AA23&lt;AB23,Q23&lt;R23),IF((AB23-AA23)=(R23-Q23),9,IF(AB23=R23,7,5)),0)))))</f>
        <v/>
      </c>
      <c r="AA23" s="1" t="n">
        <f aca="false">IFERROR(VALUE(LEFT(L23,FIND(" - ",L23)-1)),"")</f>
        <v>1</v>
      </c>
      <c r="AB23" s="1" t="n">
        <f aca="false">IFERROR(VALUE(MID(L23,FIND(" - ",L23)+3,10)),"")</f>
        <v>3</v>
      </c>
      <c r="AC23" s="1" t="n">
        <f aca="false">INDEX(Form_L20!$M$5:$M$52,MATCH(D23,Form_L20!$B$5:$B$52,0))*0.6+INDEX(Form_L20!$N$5:$N$52,MATCH(E23,Form_L20!$B$5:$B$52,0))*0.4</f>
        <v>1.07362637362637</v>
      </c>
      <c r="AD23" s="1" t="n">
        <f aca="false">INDEX(Form_L20!$M$5:$M$52,MATCH(E23,Form_L20!$B$5:$B$52,0))*0.6+INDEX(Form_L20!$N$5:$N$52,MATCH(D23,Form_L20!$B$5:$B$52,0))*0.4</f>
        <v>2.30989010989011</v>
      </c>
    </row>
    <row r="24" customFormat="false" ht="15" hidden="false" customHeight="true" outlineLevel="0" collapsed="false">
      <c r="A24" s="85" t="n">
        <v>19</v>
      </c>
      <c r="B24" s="85" t="s">
        <v>135</v>
      </c>
      <c r="C24" s="86" t="n">
        <v>46189</v>
      </c>
      <c r="D24" s="87" t="s">
        <v>134</v>
      </c>
      <c r="E24" s="87" t="s">
        <v>139</v>
      </c>
      <c r="F24" s="88" t="n">
        <f aca="false">ROUND((INDEX(Form_L20!$R$5:$R$52,MATCH(D24,Form_L20!$B$5:$B$52,0))*40+MIN(2,MAX(-2.5,INDEX(Form_L20!$M$5:$M$52,MATCH(D24,Form_L20!$B$5:$B$52,0))-INDEX(Form_L20!$N$5:$N$52,MATCH(D24,Form_L20!$B$5:$B$52,0))))*8+MIN(1.3,MAX(-0.7,1.3-INDEX(Form_L20!$N$5:$N$52,MATCH(D24,Form_L20!$B$5:$B$52,0))))*6)*INDEX(Form_L20!$Q$5:$Q$52,MATCH(D24,Form_L20!$B$5:$B$52,0))+INDEX(Tactics!$J$5:$J$52,MATCH(D24,Tactics!$B$5:$B$52,0))*0.3+INDEX(Tactics!$H$5:$H$52,MATCH(D24,Tactics!$B$5:$B$52,0))*1.5,1)</f>
        <v>82.6</v>
      </c>
      <c r="G24" s="88" t="n">
        <f aca="false">ROUND((INDEX(Form_L20!$R$5:$R$52,MATCH(E24,Form_L20!$B$5:$B$52,0))*40+MIN(2,MAX(-2.5,INDEX(Form_L20!$M$5:$M$52,MATCH(E24,Form_L20!$B$5:$B$52,0))-INDEX(Form_L20!$N$5:$N$52,MATCH(E24,Form_L20!$B$5:$B$52,0))))*8+MIN(1.3,MAX(-0.7,1.3-INDEX(Form_L20!$N$5:$N$52,MATCH(E24,Form_L20!$B$5:$B$52,0))))*6)*INDEX(Form_L20!$Q$5:$Q$52,MATCH(E24,Form_L20!$B$5:$B$52,0))+INDEX(Tactics!$J$5:$J$52,MATCH(E24,Tactics!$B$5:$B$52,0))*0.3+INDEX(Tactics!$H$5:$H$52,MATCH(E24,Tactics!$B$5:$B$52,0))*1.5,1)</f>
        <v>73.8</v>
      </c>
      <c r="H24" s="89" t="n">
        <f aca="false">F24-G24</f>
        <v>8.8</v>
      </c>
      <c r="I24" s="42" t="n">
        <f aca="false">ROUND((1/(1+10^(-H24/15)))*(1-J24),3)</f>
        <v>0.495</v>
      </c>
      <c r="J24" s="42" t="n">
        <f aca="false">ROUND(MAX(0.19,0.56-ABS(H24)/48),3)</f>
        <v>0.377</v>
      </c>
      <c r="K24" s="42" t="n">
        <f aca="false">ROUND(1-I24-J24,3)</f>
        <v>0.128</v>
      </c>
      <c r="L24" s="90" t="str">
        <f aca="false">IF(AND(J24&gt;=I24,J24&gt;=K24),MAX(0,ROUND((AC24+AD24)/2,0))&amp;" - "&amp;MAX(0,ROUND((AC24+AD24)/2,0)),IF(I24&gt;=K24,MAX(ROUND(AC24+0.35,0),MAX(0,ROUND(AD24-0.15,0))+1)&amp;" - "&amp;MAX(0,ROUND(AD24-0.15,0)),MAX(0,ROUND(AC24-0.15,0))&amp;" - "&amp;MAX(ROUND(AD24+0.35,0),MAX(0,ROUND(AC24-0.15,0))+1)))</f>
        <v>3 - 2</v>
      </c>
      <c r="M24" s="60" t="str">
        <f aca="false">IF(AND(J24&gt;=I24,J24&gt;=K24),"Draw",IF(I24&gt;=K24,D24&amp;" win",E24&amp;" win"))</f>
        <v>Argentina win</v>
      </c>
      <c r="N24" s="42" t="n">
        <f aca="false">MAX(I24,J24,K24)</f>
        <v>0.495</v>
      </c>
      <c r="O24" s="41"/>
      <c r="P24" s="45"/>
      <c r="Q24" s="91"/>
      <c r="R24" s="91"/>
      <c r="S24" s="92" t="str">
        <f aca="false">IF(OR(Q24="",R24=""),"",IF(Q24&gt;R24,D24&amp;" win",IF(R24&gt;Q24,E24&amp;" win","Draw")))</f>
        <v/>
      </c>
      <c r="T24" s="92" t="str">
        <f aca="false">IF(U24="","",CHOOSE(MATCH(U24,{0,5,7,8,9,15},0),"Errou","Apenas Vencedor","Vencedor+Gols","Empate","Vencedor+Saldo","CRAVADA"))</f>
        <v/>
      </c>
      <c r="U24" s="93" t="str">
        <f aca="false">IF(OR(Q24="",R24=""),"",IF(AND(AA24=Q24,AB24=R24),15,IF(AND(AA24=AB24,Q24=R24),8,IF(AND(AA24&gt;AB24,Q24&gt;R24),IF((AA24-AB24)=(Q24-R24),9,IF(AA24=Q24,7,5)),IF(AND(AA24&lt;AB24,Q24&lt;R24),IF((AB24-AA24)=(R24-Q24),9,IF(AB24=R24,7,5)),0)))))</f>
        <v/>
      </c>
      <c r="AA24" s="1" t="n">
        <f aca="false">IFERROR(VALUE(LEFT(L24,FIND(" - ",L24)-1)),"")</f>
        <v>3</v>
      </c>
      <c r="AB24" s="1" t="n">
        <f aca="false">IFERROR(VALUE(MID(L24,FIND(" - ",L24)+3,10)),"")</f>
        <v>2</v>
      </c>
      <c r="AC24" s="1" t="n">
        <f aca="false">INDEX(Form_L20!$M$5:$M$52,MATCH(D24,Form_L20!$B$5:$B$52,0))*0.6+INDEX(Form_L20!$N$5:$N$52,MATCH(E24,Form_L20!$B$5:$B$52,0))*0.4</f>
        <v>1.64</v>
      </c>
      <c r="AD24" s="1" t="n">
        <f aca="false">INDEX(Form_L20!$M$5:$M$52,MATCH(E24,Form_L20!$B$5:$B$52,0))*0.6+INDEX(Form_L20!$N$5:$N$52,MATCH(D24,Form_L20!$B$5:$B$52,0))*0.4</f>
        <v>1.74</v>
      </c>
    </row>
    <row r="25" customFormat="false" ht="15" hidden="false" customHeight="true" outlineLevel="0" collapsed="false">
      <c r="A25" s="85" t="n">
        <v>20</v>
      </c>
      <c r="B25" s="85" t="s">
        <v>135</v>
      </c>
      <c r="C25" s="86" t="n">
        <v>46189</v>
      </c>
      <c r="D25" s="87" t="s">
        <v>137</v>
      </c>
      <c r="E25" s="87" t="s">
        <v>141</v>
      </c>
      <c r="F25" s="88" t="n">
        <f aca="false">ROUND((INDEX(Form_L20!$R$5:$R$52,MATCH(D25,Form_L20!$B$5:$B$52,0))*40+MIN(2,MAX(-2.5,INDEX(Form_L20!$M$5:$M$52,MATCH(D25,Form_L20!$B$5:$B$52,0))-INDEX(Form_L20!$N$5:$N$52,MATCH(D25,Form_L20!$B$5:$B$52,0))))*8+MIN(1.3,MAX(-0.7,1.3-INDEX(Form_L20!$N$5:$N$52,MATCH(D25,Form_L20!$B$5:$B$52,0))))*6)*INDEX(Form_L20!$Q$5:$Q$52,MATCH(D25,Form_L20!$B$5:$B$52,0))+INDEX(Tactics!$J$5:$J$52,MATCH(D25,Tactics!$B$5:$B$52,0))*0.3+INDEX(Tactics!$H$5:$H$52,MATCH(D25,Tactics!$B$5:$B$52,0))*1.5,1)</f>
        <v>89.4</v>
      </c>
      <c r="G25" s="88" t="n">
        <f aca="false">ROUND((INDEX(Form_L20!$R$5:$R$52,MATCH(E25,Form_L20!$B$5:$B$52,0))*40+MIN(2,MAX(-2.5,INDEX(Form_L20!$M$5:$M$52,MATCH(E25,Form_L20!$B$5:$B$52,0))-INDEX(Form_L20!$N$5:$N$52,MATCH(E25,Form_L20!$B$5:$B$52,0))))*8+MIN(1.3,MAX(-0.7,1.3-INDEX(Form_L20!$N$5:$N$52,MATCH(E25,Form_L20!$B$5:$B$52,0))))*6)*INDEX(Form_L20!$Q$5:$Q$52,MATCH(E25,Form_L20!$B$5:$B$52,0))+INDEX(Tactics!$J$5:$J$52,MATCH(E25,Tactics!$B$5:$B$52,0))*0.3+INDEX(Tactics!$H$5:$H$52,MATCH(E25,Tactics!$B$5:$B$52,0))*1.5,1)</f>
        <v>52.5</v>
      </c>
      <c r="H25" s="89" t="n">
        <f aca="false">F25-G25</f>
        <v>36.9</v>
      </c>
      <c r="I25" s="42" t="n">
        <f aca="false">ROUND((1/(1+10^(-H25/15)))*(1-J25),3)</f>
        <v>0.807</v>
      </c>
      <c r="J25" s="42" t="n">
        <f aca="false">ROUND(MAX(0.19,0.56-ABS(H25)/48),3)</f>
        <v>0.19</v>
      </c>
      <c r="K25" s="42" t="n">
        <f aca="false">ROUND(1-I25-J25,3)</f>
        <v>0.003</v>
      </c>
      <c r="L25" s="90" t="str">
        <f aca="false">IF(AND(J25&gt;=I25,J25&gt;=K25),MAX(0,ROUND((AC25+AD25)/2,0))&amp;" - "&amp;MAX(0,ROUND((AC25+AD25)/2,0)),IF(I25&gt;=K25,MAX(ROUND(AC25+0.35,0),MAX(0,ROUND(AD25-0.15,0))+1)&amp;" - "&amp;MAX(0,ROUND(AD25-0.15,0)),MAX(0,ROUND(AC25-0.15,0))&amp;" - "&amp;MAX(ROUND(AD25+0.35,0),MAX(0,ROUND(AC25-0.15,0))+1)))</f>
        <v>2 - 1</v>
      </c>
      <c r="M25" s="60" t="str">
        <f aca="false">IF(AND(J25&gt;=I25,J25&gt;=K25),"Draw",IF(I25&gt;=K25,D25&amp;" win",E25&amp;" win"))</f>
        <v>Austria win</v>
      </c>
      <c r="N25" s="42" t="n">
        <f aca="false">MAX(I25,J25,K25)</f>
        <v>0.807</v>
      </c>
      <c r="O25" s="41"/>
      <c r="P25" s="45"/>
      <c r="Q25" s="91"/>
      <c r="R25" s="91"/>
      <c r="S25" s="92" t="str">
        <f aca="false">IF(OR(Q25="",R25=""),"",IF(Q25&gt;R25,D25&amp;" win",IF(R25&gt;Q25,E25&amp;" win","Draw")))</f>
        <v/>
      </c>
      <c r="T25" s="92" t="str">
        <f aca="false">IF(U25="","",CHOOSE(MATCH(U25,{0,5,7,8,9,15},0),"Errou","Apenas Vencedor","Vencedor+Gols","Empate","Vencedor+Saldo","CRAVADA"))</f>
        <v/>
      </c>
      <c r="U25" s="93" t="str">
        <f aca="false">IF(OR(Q25="",R25=""),"",IF(AND(AA25=Q25,AB25=R25),15,IF(AND(AA25=AB25,Q25=R25),8,IF(AND(AA25&gt;AB25,Q25&gt;R25),IF((AA25-AB25)=(Q25-R25),9,IF(AA25=Q25,7,5)),IF(AND(AA25&lt;AB25,Q25&lt;R25),IF((AB25-AA25)=(R25-Q25),9,IF(AB25=R25,7,5)),0)))))</f>
        <v/>
      </c>
      <c r="AA25" s="1" t="n">
        <f aca="false">IFERROR(VALUE(LEFT(L25,FIND(" - ",L25)-1)),"")</f>
        <v>2</v>
      </c>
      <c r="AB25" s="1" t="n">
        <f aca="false">IFERROR(VALUE(MID(L25,FIND(" - ",L25)+3,10)),"")</f>
        <v>1</v>
      </c>
      <c r="AC25" s="1" t="n">
        <f aca="false">INDEX(Form_L20!$M$5:$M$52,MATCH(D25,Form_L20!$B$5:$B$52,0))*0.6+INDEX(Form_L20!$N$5:$N$52,MATCH(E25,Form_L20!$B$5:$B$52,0))*0.4</f>
        <v>2.05</v>
      </c>
      <c r="AD25" s="1" t="n">
        <f aca="false">INDEX(Form_L20!$M$5:$M$52,MATCH(E25,Form_L20!$B$5:$B$52,0))*0.6+INDEX(Form_L20!$N$5:$N$52,MATCH(D25,Form_L20!$B$5:$B$52,0))*0.4</f>
        <v>1.28</v>
      </c>
    </row>
    <row r="26" customFormat="false" ht="15" hidden="false" customHeight="true" outlineLevel="0" collapsed="false">
      <c r="A26" s="85" t="n">
        <v>21</v>
      </c>
      <c r="B26" s="85" t="s">
        <v>143</v>
      </c>
      <c r="C26" s="86" t="n">
        <v>46190</v>
      </c>
      <c r="D26" s="87" t="s">
        <v>142</v>
      </c>
      <c r="E26" s="87" t="s">
        <v>148</v>
      </c>
      <c r="F26" s="88" t="n">
        <f aca="false">ROUND((INDEX(Form_L20!$R$5:$R$52,MATCH(D26,Form_L20!$B$5:$B$52,0))*40+MIN(2,MAX(-2.5,INDEX(Form_L20!$M$5:$M$52,MATCH(D26,Form_L20!$B$5:$B$52,0))-INDEX(Form_L20!$N$5:$N$52,MATCH(D26,Form_L20!$B$5:$B$52,0))))*8+MIN(1.3,MAX(-0.7,1.3-INDEX(Form_L20!$N$5:$N$52,MATCH(D26,Form_L20!$B$5:$B$52,0))))*6)*INDEX(Form_L20!$Q$5:$Q$52,MATCH(D26,Form_L20!$B$5:$B$52,0))+INDEX(Tactics!$J$5:$J$52,MATCH(D26,Tactics!$B$5:$B$52,0))*0.3+INDEX(Tactics!$H$5:$H$52,MATCH(D26,Tactics!$B$5:$B$52,0))*1.5,1)</f>
        <v>79.7</v>
      </c>
      <c r="G26" s="88" t="n">
        <f aca="false">ROUND((INDEX(Form_L20!$R$5:$R$52,MATCH(E26,Form_L20!$B$5:$B$52,0))*40+MIN(2,MAX(-2.5,INDEX(Form_L20!$M$5:$M$52,MATCH(E26,Form_L20!$B$5:$B$52,0))-INDEX(Form_L20!$N$5:$N$52,MATCH(E26,Form_L20!$B$5:$B$52,0))))*8+MIN(1.3,MAX(-0.7,1.3-INDEX(Form_L20!$N$5:$N$52,MATCH(E26,Form_L20!$B$5:$B$52,0))))*6)*INDEX(Form_L20!$Q$5:$Q$52,MATCH(E26,Form_L20!$B$5:$B$52,0))+INDEX(Tactics!$J$5:$J$52,MATCH(E26,Tactics!$B$5:$B$52,0))*0.3+INDEX(Tactics!$H$5:$H$52,MATCH(E26,Tactics!$B$5:$B$52,0))*1.5,1)</f>
        <v>62.5</v>
      </c>
      <c r="H26" s="89" t="n">
        <f aca="false">F26-G26</f>
        <v>17.2</v>
      </c>
      <c r="I26" s="42" t="n">
        <f aca="false">ROUND((1/(1+10^(-H26/15)))*(1-J26),3)</f>
        <v>0.745</v>
      </c>
      <c r="J26" s="42" t="n">
        <f aca="false">ROUND(MAX(0.19,0.56-ABS(H26)/48),3)</f>
        <v>0.202</v>
      </c>
      <c r="K26" s="42" t="n">
        <f aca="false">ROUND(1-I26-J26,3)</f>
        <v>0.053</v>
      </c>
      <c r="L26" s="90" t="str">
        <f aca="false">IF(AND(J26&gt;=I26,J26&gt;=K26),MAX(0,ROUND((AC26+AD26)/2,0))&amp;" - "&amp;MAX(0,ROUND((AC26+AD26)/2,0)),IF(I26&gt;=K26,MAX(ROUND(AC26+0.35,0),MAX(0,ROUND(AD26-0.15,0))+1)&amp;" - "&amp;MAX(0,ROUND(AD26-0.15,0)),MAX(0,ROUND(AC26-0.15,0))&amp;" - "&amp;MAX(ROUND(AD26+0.35,0),MAX(0,ROUND(AC26-0.15,0))+1)))</f>
        <v>2 - 1</v>
      </c>
      <c r="M26" s="60" t="str">
        <f aca="false">IF(AND(J26&gt;=I26,J26&gt;=K26),"Draw",IF(I26&gt;=K26,D26&amp;" win",E26&amp;" win"))</f>
        <v>Portugal win</v>
      </c>
      <c r="N26" s="42" t="n">
        <f aca="false">MAX(I26,J26,K26)</f>
        <v>0.745</v>
      </c>
      <c r="O26" s="41"/>
      <c r="P26" s="45"/>
      <c r="Q26" s="91"/>
      <c r="R26" s="91"/>
      <c r="S26" s="92" t="str">
        <f aca="false">IF(OR(Q26="",R26=""),"",IF(Q26&gt;R26,D26&amp;" win",IF(R26&gt;Q26,E26&amp;" win","Draw")))</f>
        <v/>
      </c>
      <c r="T26" s="92" t="str">
        <f aca="false">IF(U26="","",CHOOSE(MATCH(U26,{0,5,7,8,9,15},0),"Errou","Apenas Vencedor","Vencedor+Gols","Empate","Vencedor+Saldo","CRAVADA"))</f>
        <v/>
      </c>
      <c r="U26" s="93" t="str">
        <f aca="false">IF(OR(Q26="",R26=""),"",IF(AND(AA26=Q26,AB26=R26),15,IF(AND(AA26=AB26,Q26=R26),8,IF(AND(AA26&gt;AB26,Q26&gt;R26),IF((AA26-AB26)=(Q26-R26),9,IF(AA26=Q26,7,5)),IF(AND(AA26&lt;AB26,Q26&lt;R26),IF((AB26-AA26)=(R26-Q26),9,IF(AB26=R26,7,5)),0)))))</f>
        <v/>
      </c>
      <c r="AA26" s="1" t="n">
        <f aca="false">IFERROR(VALUE(LEFT(L26,FIND(" - ",L26)-1)),"")</f>
        <v>2</v>
      </c>
      <c r="AB26" s="1" t="n">
        <f aca="false">IFERROR(VALUE(MID(L26,FIND(" - ",L26)+3,10)),"")</f>
        <v>1</v>
      </c>
      <c r="AC26" s="1" t="n">
        <f aca="false">INDEX(Form_L20!$M$5:$M$52,MATCH(D26,Form_L20!$B$5:$B$52,0))*0.6+INDEX(Form_L20!$N$5:$N$52,MATCH(E26,Form_L20!$B$5:$B$52,0))*0.4</f>
        <v>1.52666666666667</v>
      </c>
      <c r="AD26" s="1" t="n">
        <f aca="false">INDEX(Form_L20!$M$5:$M$52,MATCH(E26,Form_L20!$B$5:$B$52,0))*0.6+INDEX(Form_L20!$N$5:$N$52,MATCH(D26,Form_L20!$B$5:$B$52,0))*0.4</f>
        <v>1.17</v>
      </c>
    </row>
    <row r="27" customFormat="false" ht="15" hidden="false" customHeight="true" outlineLevel="0" collapsed="false">
      <c r="A27" s="85" t="n">
        <v>22</v>
      </c>
      <c r="B27" s="85" t="s">
        <v>150</v>
      </c>
      <c r="C27" s="86" t="n">
        <v>46190</v>
      </c>
      <c r="D27" s="87" t="s">
        <v>149</v>
      </c>
      <c r="E27" s="87" t="s">
        <v>152</v>
      </c>
      <c r="F27" s="88" t="n">
        <f aca="false">ROUND((INDEX(Form_L20!$R$5:$R$52,MATCH(D27,Form_L20!$B$5:$B$52,0))*40+MIN(2,MAX(-2.5,INDEX(Form_L20!$M$5:$M$52,MATCH(D27,Form_L20!$B$5:$B$52,0))-INDEX(Form_L20!$N$5:$N$52,MATCH(D27,Form_L20!$B$5:$B$52,0))))*8+MIN(1.3,MAX(-0.7,1.3-INDEX(Form_L20!$N$5:$N$52,MATCH(D27,Form_L20!$B$5:$B$52,0))))*6)*INDEX(Form_L20!$Q$5:$Q$52,MATCH(D27,Form_L20!$B$5:$B$52,0))+INDEX(Tactics!$J$5:$J$52,MATCH(D27,Tactics!$B$5:$B$52,0))*0.3+INDEX(Tactics!$H$5:$H$52,MATCH(D27,Tactics!$B$5:$B$52,0))*1.5,1)</f>
        <v>81.7</v>
      </c>
      <c r="G27" s="88" t="n">
        <f aca="false">ROUND((INDEX(Form_L20!$R$5:$R$52,MATCH(E27,Form_L20!$B$5:$B$52,0))*40+MIN(2,MAX(-2.5,INDEX(Form_L20!$M$5:$M$52,MATCH(E27,Form_L20!$B$5:$B$52,0))-INDEX(Form_L20!$N$5:$N$52,MATCH(E27,Form_L20!$B$5:$B$52,0))))*8+MIN(1.3,MAX(-0.7,1.3-INDEX(Form_L20!$N$5:$N$52,MATCH(E27,Form_L20!$B$5:$B$52,0))))*6)*INDEX(Form_L20!$Q$5:$Q$52,MATCH(E27,Form_L20!$B$5:$B$52,0))+INDEX(Tactics!$J$5:$J$52,MATCH(E27,Tactics!$B$5:$B$52,0))*0.3+INDEX(Tactics!$H$5:$H$52,MATCH(E27,Tactics!$B$5:$B$52,0))*1.5,1)</f>
        <v>70</v>
      </c>
      <c r="H27" s="89" t="n">
        <f aca="false">F27-G27</f>
        <v>11.7</v>
      </c>
      <c r="I27" s="42" t="n">
        <f aca="false">ROUND((1/(1+10^(-H27/15)))*(1-J27),3)</f>
        <v>0.587</v>
      </c>
      <c r="J27" s="42" t="n">
        <f aca="false">ROUND(MAX(0.19,0.56-ABS(H27)/48),3)</f>
        <v>0.316</v>
      </c>
      <c r="K27" s="42" t="n">
        <f aca="false">ROUND(1-I27-J27,3)</f>
        <v>0.097</v>
      </c>
      <c r="L27" s="90" t="str">
        <f aca="false">IF(AND(J27&gt;=I27,J27&gt;=K27),MAX(0,ROUND((AC27+AD27)/2,0))&amp;" - "&amp;MAX(0,ROUND((AC27+AD27)/2,0)),IF(I27&gt;=K27,MAX(ROUND(AC27+0.35,0),MAX(0,ROUND(AD27-0.15,0))+1)&amp;" - "&amp;MAX(0,ROUND(AD27-0.15,0)),MAX(0,ROUND(AC27-0.15,0))&amp;" - "&amp;MAX(ROUND(AD27+0.35,0),MAX(0,ROUND(AC27-0.15,0))+1)))</f>
        <v>2 - 1</v>
      </c>
      <c r="M27" s="60" t="str">
        <f aca="false">IF(AND(J27&gt;=I27,J27&gt;=K27),"Draw",IF(I27&gt;=K27,D27&amp;" win",E27&amp;" win"))</f>
        <v>England win</v>
      </c>
      <c r="N27" s="42" t="n">
        <f aca="false">MAX(I27,J27,K27)</f>
        <v>0.587</v>
      </c>
      <c r="O27" s="41"/>
      <c r="P27" s="45"/>
      <c r="Q27" s="91"/>
      <c r="R27" s="91"/>
      <c r="S27" s="92" t="str">
        <f aca="false">IF(OR(Q27="",R27=""),"",IF(Q27&gt;R27,D27&amp;" win",IF(R27&gt;Q27,E27&amp;" win","Draw")))</f>
        <v/>
      </c>
      <c r="T27" s="92" t="str">
        <f aca="false">IF(U27="","",CHOOSE(MATCH(U27,{0,5,7,8,9,15},0),"Errou","Apenas Vencedor","Vencedor+Gols","Empate","Vencedor+Saldo","CRAVADA"))</f>
        <v/>
      </c>
      <c r="U27" s="93" t="str">
        <f aca="false">IF(OR(Q27="",R27=""),"",IF(AND(AA27=Q27,AB27=R27),15,IF(AND(AA27=AB27,Q27=R27),8,IF(AND(AA27&gt;AB27,Q27&gt;R27),IF((AA27-AB27)=(Q27-R27),9,IF(AA27=Q27,7,5)),IF(AND(AA27&lt;AB27,Q27&lt;R27),IF((AB27-AA27)=(R27-Q27),9,IF(AB27=R27,7,5)),0)))))</f>
        <v/>
      </c>
      <c r="AA27" s="1" t="n">
        <f aca="false">IFERROR(VALUE(LEFT(L27,FIND(" - ",L27)-1)),"")</f>
        <v>2</v>
      </c>
      <c r="AB27" s="1" t="n">
        <f aca="false">IFERROR(VALUE(MID(L27,FIND(" - ",L27)+3,10)),"")</f>
        <v>1</v>
      </c>
      <c r="AC27" s="1" t="n">
        <f aca="false">INDEX(Form_L20!$M$5:$M$52,MATCH(D27,Form_L20!$B$5:$B$52,0))*0.6+INDEX(Form_L20!$N$5:$N$52,MATCH(E27,Form_L20!$B$5:$B$52,0))*0.4</f>
        <v>1.56</v>
      </c>
      <c r="AD27" s="1" t="n">
        <f aca="false">INDEX(Form_L20!$M$5:$M$52,MATCH(E27,Form_L20!$B$5:$B$52,0))*0.6+INDEX(Form_L20!$N$5:$N$52,MATCH(D27,Form_L20!$B$5:$B$52,0))*0.4</f>
        <v>1.28</v>
      </c>
    </row>
    <row r="28" customFormat="false" ht="15" hidden="false" customHeight="true" outlineLevel="0" collapsed="false">
      <c r="A28" s="85" t="n">
        <v>23</v>
      </c>
      <c r="B28" s="85" t="s">
        <v>150</v>
      </c>
      <c r="C28" s="86" t="n">
        <v>46190</v>
      </c>
      <c r="D28" s="87" t="s">
        <v>156</v>
      </c>
      <c r="E28" s="87" t="s">
        <v>154</v>
      </c>
      <c r="F28" s="88" t="n">
        <f aca="false">ROUND((INDEX(Form_L20!$R$5:$R$52,MATCH(D28,Form_L20!$B$5:$B$52,0))*40+MIN(2,MAX(-2.5,INDEX(Form_L20!$M$5:$M$52,MATCH(D28,Form_L20!$B$5:$B$52,0))-INDEX(Form_L20!$N$5:$N$52,MATCH(D28,Form_L20!$B$5:$B$52,0))))*8+MIN(1.3,MAX(-0.7,1.3-INDEX(Form_L20!$N$5:$N$52,MATCH(D28,Form_L20!$B$5:$B$52,0))))*6)*INDEX(Form_L20!$Q$5:$Q$52,MATCH(D28,Form_L20!$B$5:$B$52,0))+INDEX(Tactics!$J$5:$J$52,MATCH(D28,Tactics!$B$5:$B$52,0))*0.3+INDEX(Tactics!$H$5:$H$52,MATCH(D28,Tactics!$B$5:$B$52,0))*1.5,1)</f>
        <v>68.6</v>
      </c>
      <c r="G28" s="88" t="n">
        <f aca="false">ROUND((INDEX(Form_L20!$R$5:$R$52,MATCH(E28,Form_L20!$B$5:$B$52,0))*40+MIN(2,MAX(-2.5,INDEX(Form_L20!$M$5:$M$52,MATCH(E28,Form_L20!$B$5:$B$52,0))-INDEX(Form_L20!$N$5:$N$52,MATCH(E28,Form_L20!$B$5:$B$52,0))))*8+MIN(1.3,MAX(-0.7,1.3-INDEX(Form_L20!$N$5:$N$52,MATCH(E28,Form_L20!$B$5:$B$52,0))))*6)*INDEX(Form_L20!$Q$5:$Q$52,MATCH(E28,Form_L20!$B$5:$B$52,0))+INDEX(Tactics!$J$5:$J$52,MATCH(E28,Tactics!$B$5:$B$52,0))*0.3+INDEX(Tactics!$H$5:$H$52,MATCH(E28,Tactics!$B$5:$B$52,0))*1.5,1)</f>
        <v>58.5</v>
      </c>
      <c r="H28" s="89" t="n">
        <f aca="false">F28-G28</f>
        <v>10.1</v>
      </c>
      <c r="I28" s="42" t="n">
        <f aca="false">ROUND((1/(1+10^(-H28/15)))*(1-J28),3)</f>
        <v>0.536</v>
      </c>
      <c r="J28" s="42" t="n">
        <f aca="false">ROUND(MAX(0.19,0.56-ABS(H28)/48),3)</f>
        <v>0.35</v>
      </c>
      <c r="K28" s="42" t="n">
        <f aca="false">ROUND(1-I28-J28,3)</f>
        <v>0.114</v>
      </c>
      <c r="L28" s="90" t="str">
        <f aca="false">IF(AND(J28&gt;=I28,J28&gt;=K28),MAX(0,ROUND((AC28+AD28)/2,0))&amp;" - "&amp;MAX(0,ROUND((AC28+AD28)/2,0)),IF(I28&gt;=K28,MAX(ROUND(AC28+0.35,0),MAX(0,ROUND(AD28-0.15,0))+1)&amp;" - "&amp;MAX(0,ROUND(AD28-0.15,0)),MAX(0,ROUND(AC28-0.15,0))&amp;" - "&amp;MAX(ROUND(AD28+0.35,0),MAX(0,ROUND(AC28-0.15,0))+1)))</f>
        <v>2 - 1</v>
      </c>
      <c r="M28" s="60" t="str">
        <f aca="false">IF(AND(J28&gt;=I28,J28&gt;=K28),"Draw",IF(I28&gt;=K28,D28&amp;" win",E28&amp;" win"))</f>
        <v>Ghana win</v>
      </c>
      <c r="N28" s="42" t="n">
        <f aca="false">MAX(I28,J28,K28)</f>
        <v>0.536</v>
      </c>
      <c r="O28" s="41"/>
      <c r="P28" s="45"/>
      <c r="Q28" s="91"/>
      <c r="R28" s="91"/>
      <c r="S28" s="92" t="str">
        <f aca="false">IF(OR(Q28="",R28=""),"",IF(Q28&gt;R28,D28&amp;" win",IF(R28&gt;Q28,E28&amp;" win","Draw")))</f>
        <v/>
      </c>
      <c r="T28" s="92" t="str">
        <f aca="false">IF(U28="","",CHOOSE(MATCH(U28,{0,5,7,8,9,15},0),"Errou","Apenas Vencedor","Vencedor+Gols","Empate","Vencedor+Saldo","CRAVADA"))</f>
        <v/>
      </c>
      <c r="U28" s="93" t="str">
        <f aca="false">IF(OR(Q28="",R28=""),"",IF(AND(AA28=Q28,AB28=R28),15,IF(AND(AA28=AB28,Q28=R28),8,IF(AND(AA28&gt;AB28,Q28&gt;R28),IF((AA28-AB28)=(Q28-R28),9,IF(AA28=Q28,7,5)),IF(AND(AA28&lt;AB28,Q28&lt;R28),IF((AB28-AA28)=(R28-Q28),9,IF(AB28=R28,7,5)),0)))))</f>
        <v/>
      </c>
      <c r="AA28" s="1" t="n">
        <f aca="false">IFERROR(VALUE(LEFT(L28,FIND(" - ",L28)-1)),"")</f>
        <v>2</v>
      </c>
      <c r="AB28" s="1" t="n">
        <f aca="false">IFERROR(VALUE(MID(L28,FIND(" - ",L28)+3,10)),"")</f>
        <v>1</v>
      </c>
      <c r="AC28" s="1" t="n">
        <f aca="false">INDEX(Form_L20!$M$5:$M$52,MATCH(D28,Form_L20!$B$5:$B$52,0))*0.6+INDEX(Form_L20!$N$5:$N$52,MATCH(E28,Form_L20!$B$5:$B$52,0))*0.4</f>
        <v>1.64666666666667</v>
      </c>
      <c r="AD28" s="1" t="n">
        <f aca="false">INDEX(Form_L20!$M$5:$M$52,MATCH(E28,Form_L20!$B$5:$B$52,0))*0.6+INDEX(Form_L20!$N$5:$N$52,MATCH(D28,Form_L20!$B$5:$B$52,0))*0.4</f>
        <v>1.14</v>
      </c>
    </row>
    <row r="29" customFormat="false" ht="15" hidden="false" customHeight="true" outlineLevel="0" collapsed="false">
      <c r="A29" s="85" t="n">
        <v>24</v>
      </c>
      <c r="B29" s="85" t="s">
        <v>143</v>
      </c>
      <c r="C29" s="86" t="n">
        <v>46190</v>
      </c>
      <c r="D29" s="87" t="s">
        <v>147</v>
      </c>
      <c r="E29" s="87" t="s">
        <v>145</v>
      </c>
      <c r="F29" s="88" t="n">
        <f aca="false">ROUND((INDEX(Form_L20!$R$5:$R$52,MATCH(D29,Form_L20!$B$5:$B$52,0))*40+MIN(2,MAX(-2.5,INDEX(Form_L20!$M$5:$M$52,MATCH(D29,Form_L20!$B$5:$B$52,0))-INDEX(Form_L20!$N$5:$N$52,MATCH(D29,Form_L20!$B$5:$B$52,0))))*8+MIN(1.3,MAX(-0.7,1.3-INDEX(Form_L20!$N$5:$N$52,MATCH(D29,Form_L20!$B$5:$B$52,0))))*6)*INDEX(Form_L20!$Q$5:$Q$52,MATCH(D29,Form_L20!$B$5:$B$52,0))+INDEX(Tactics!$J$5:$J$52,MATCH(D29,Tactics!$B$5:$B$52,0))*0.3+INDEX(Tactics!$H$5:$H$52,MATCH(D29,Tactics!$B$5:$B$52,0))*1.5,1)</f>
        <v>59.1</v>
      </c>
      <c r="G29" s="88" t="n">
        <f aca="false">ROUND((INDEX(Form_L20!$R$5:$R$52,MATCH(E29,Form_L20!$B$5:$B$52,0))*40+MIN(2,MAX(-2.5,INDEX(Form_L20!$M$5:$M$52,MATCH(E29,Form_L20!$B$5:$B$52,0))-INDEX(Form_L20!$N$5:$N$52,MATCH(E29,Form_L20!$B$5:$B$52,0))))*8+MIN(1.3,MAX(-0.7,1.3-INDEX(Form_L20!$N$5:$N$52,MATCH(E29,Form_L20!$B$5:$B$52,0))))*6)*INDEX(Form_L20!$Q$5:$Q$52,MATCH(E29,Form_L20!$B$5:$B$52,0))+INDEX(Tactics!$J$5:$J$52,MATCH(E29,Tactics!$B$5:$B$52,0))*0.3+INDEX(Tactics!$H$5:$H$52,MATCH(E29,Tactics!$B$5:$B$52,0))*1.5,1)</f>
        <v>70.9</v>
      </c>
      <c r="H29" s="89" t="n">
        <f aca="false">F29-G29</f>
        <v>-11.8</v>
      </c>
      <c r="I29" s="42" t="n">
        <f aca="false">ROUND((1/(1+10^(-H29/15)))*(1-J29),3)</f>
        <v>0.096</v>
      </c>
      <c r="J29" s="42" t="n">
        <f aca="false">ROUND(MAX(0.19,0.56-ABS(H29)/48),3)</f>
        <v>0.314</v>
      </c>
      <c r="K29" s="42" t="n">
        <f aca="false">ROUND(1-I29-J29,3)</f>
        <v>0.59</v>
      </c>
      <c r="L29" s="90" t="str">
        <f aca="false">IF(AND(J29&gt;=I29,J29&gt;=K29),MAX(0,ROUND((AC29+AD29)/2,0))&amp;" - "&amp;MAX(0,ROUND((AC29+AD29)/2,0)),IF(I29&gt;=K29,MAX(ROUND(AC29+0.35,0),MAX(0,ROUND(AD29-0.15,0))+1)&amp;" - "&amp;MAX(0,ROUND(AD29-0.15,0)),MAX(0,ROUND(AC29-0.15,0))&amp;" - "&amp;MAX(ROUND(AD29+0.35,0),MAX(0,ROUND(AC29-0.15,0))+1)))</f>
        <v>1 - 2</v>
      </c>
      <c r="M29" s="60" t="str">
        <f aca="false">IF(AND(J29&gt;=I29,J29&gt;=K29),"Draw",IF(I29&gt;=K29,D29&amp;" win",E29&amp;" win"))</f>
        <v>Colombia win</v>
      </c>
      <c r="N29" s="42" t="n">
        <f aca="false">MAX(I29,J29,K29)</f>
        <v>0.59</v>
      </c>
      <c r="O29" s="41"/>
      <c r="P29" s="45"/>
      <c r="Q29" s="91"/>
      <c r="R29" s="91"/>
      <c r="S29" s="92" t="str">
        <f aca="false">IF(OR(Q29="",R29=""),"",IF(Q29&gt;R29,D29&amp;" win",IF(R29&gt;Q29,E29&amp;" win","Draw")))</f>
        <v/>
      </c>
      <c r="T29" s="92" t="str">
        <f aca="false">IF(U29="","",CHOOSE(MATCH(U29,{0,5,7,8,9,15},0),"Errou","Apenas Vencedor","Vencedor+Gols","Empate","Vencedor+Saldo","CRAVADA"))</f>
        <v/>
      </c>
      <c r="U29" s="93" t="str">
        <f aca="false">IF(OR(Q29="",R29=""),"",IF(AND(AA29=Q29,AB29=R29),15,IF(AND(AA29=AB29,Q29=R29),8,IF(AND(AA29&gt;AB29,Q29&gt;R29),IF((AA29-AB29)=(Q29-R29),9,IF(AA29=Q29,7,5)),IF(AND(AA29&lt;AB29,Q29&lt;R29),IF((AB29-AA29)=(R29-Q29),9,IF(AB29=R29,7,5)),0)))))</f>
        <v/>
      </c>
      <c r="AA29" s="1" t="n">
        <f aca="false">IFERROR(VALUE(LEFT(L29,FIND(" - ",L29)-1)),"")</f>
        <v>1</v>
      </c>
      <c r="AB29" s="1" t="n">
        <f aca="false">IFERROR(VALUE(MID(L29,FIND(" - ",L29)+3,10)),"")</f>
        <v>2</v>
      </c>
      <c r="AC29" s="1" t="n">
        <f aca="false">INDEX(Form_L20!$M$5:$M$52,MATCH(D29,Form_L20!$B$5:$B$52,0))*0.6+INDEX(Form_L20!$N$5:$N$52,MATCH(E29,Form_L20!$B$5:$B$52,0))*0.4</f>
        <v>1.25</v>
      </c>
      <c r="AD29" s="1" t="n">
        <f aca="false">INDEX(Form_L20!$M$5:$M$52,MATCH(E29,Form_L20!$B$5:$B$52,0))*0.6+INDEX(Form_L20!$N$5:$N$52,MATCH(D29,Form_L20!$B$5:$B$52,0))*0.4</f>
        <v>1.32</v>
      </c>
    </row>
    <row r="30" customFormat="false" ht="15" hidden="false" customHeight="true" outlineLevel="0" collapsed="false">
      <c r="A30" s="85" t="n">
        <v>25</v>
      </c>
      <c r="B30" s="85" t="s">
        <v>55</v>
      </c>
      <c r="C30" s="86" t="n">
        <v>46191</v>
      </c>
      <c r="D30" s="87" t="s">
        <v>63</v>
      </c>
      <c r="E30" s="87" t="s">
        <v>60</v>
      </c>
      <c r="F30" s="88" t="n">
        <f aca="false">ROUND((INDEX(Form_L20!$R$5:$R$52,MATCH(D30,Form_L20!$B$5:$B$52,0))*40+MIN(2,MAX(-2.5,INDEX(Form_L20!$M$5:$M$52,MATCH(D30,Form_L20!$B$5:$B$52,0))-INDEX(Form_L20!$N$5:$N$52,MATCH(D30,Form_L20!$B$5:$B$52,0))))*8+MIN(1.3,MAX(-0.7,1.3-INDEX(Form_L20!$N$5:$N$52,MATCH(D30,Form_L20!$B$5:$B$52,0))))*6)*INDEX(Form_L20!$Q$5:$Q$52,MATCH(D30,Form_L20!$B$5:$B$52,0))+INDEX(Tactics!$J$5:$J$52,MATCH(D30,Tactics!$B$5:$B$52,0))*0.3+INDEX(Tactics!$H$5:$H$52,MATCH(D30,Tactics!$B$5:$B$52,0))*1.5,1)</f>
        <v>66.1</v>
      </c>
      <c r="G30" s="88" t="n">
        <f aca="false">ROUND((INDEX(Form_L20!$R$5:$R$52,MATCH(E30,Form_L20!$B$5:$B$52,0))*40+MIN(2,MAX(-2.5,INDEX(Form_L20!$M$5:$M$52,MATCH(E30,Form_L20!$B$5:$B$52,0))-INDEX(Form_L20!$N$5:$N$52,MATCH(E30,Form_L20!$B$5:$B$52,0))))*8+MIN(1.3,MAX(-0.7,1.3-INDEX(Form_L20!$N$5:$N$52,MATCH(E30,Form_L20!$B$5:$B$52,0))))*6)*INDEX(Form_L20!$Q$5:$Q$52,MATCH(E30,Form_L20!$B$5:$B$52,0))+INDEX(Tactics!$J$5:$J$52,MATCH(E30,Tactics!$B$5:$B$52,0))*0.3+INDEX(Tactics!$H$5:$H$52,MATCH(E30,Tactics!$B$5:$B$52,0))*1.5,1)</f>
        <v>55.2</v>
      </c>
      <c r="H30" s="89" t="n">
        <f aca="false">F30-G30</f>
        <v>10.9</v>
      </c>
      <c r="I30" s="42" t="n">
        <f aca="false">ROUND((1/(1+10^(-H30/15)))*(1-J30),3)</f>
        <v>0.562</v>
      </c>
      <c r="J30" s="42" t="n">
        <f aca="false">ROUND(MAX(0.19,0.56-ABS(H30)/48),3)</f>
        <v>0.333</v>
      </c>
      <c r="K30" s="42" t="n">
        <f aca="false">ROUND(1-I30-J30,3)</f>
        <v>0.105</v>
      </c>
      <c r="L30" s="90" t="str">
        <f aca="false">IF(AND(J30&gt;=I30,J30&gt;=K30),MAX(0,ROUND((AC30+AD30)/2,0))&amp;" - "&amp;MAX(0,ROUND((AC30+AD30)/2,0)),IF(I30&gt;=K30,MAX(ROUND(AC30+0.35,0),MAX(0,ROUND(AD30-0.15,0))+1)&amp;" - "&amp;MAX(0,ROUND(AD30-0.15,0)),MAX(0,ROUND(AC30-0.15,0))&amp;" - "&amp;MAX(ROUND(AD30+0.35,0),MAX(0,ROUND(AC30-0.15,0))+1)))</f>
        <v>2 - 1</v>
      </c>
      <c r="M30" s="60" t="str">
        <f aca="false">IF(AND(J30&gt;=I30,J30&gt;=K30),"Draw",IF(I30&gt;=K30,D30&amp;" win",E30&amp;" win"))</f>
        <v>Czechia win</v>
      </c>
      <c r="N30" s="42" t="n">
        <f aca="false">MAX(I30,J30,K30)</f>
        <v>0.562</v>
      </c>
      <c r="O30" s="41"/>
      <c r="P30" s="45"/>
      <c r="Q30" s="91"/>
      <c r="R30" s="91"/>
      <c r="S30" s="92" t="str">
        <f aca="false">IF(OR(Q30="",R30=""),"",IF(Q30&gt;R30,D30&amp;" win",IF(R30&gt;Q30,E30&amp;" win","Draw")))</f>
        <v/>
      </c>
      <c r="T30" s="92" t="str">
        <f aca="false">IF(U30="","",CHOOSE(MATCH(U30,{0,5,7,8,9,15},0),"Errou","Apenas Vencedor","Vencedor+Gols","Empate","Vencedor+Saldo","CRAVADA"))</f>
        <v/>
      </c>
      <c r="U30" s="93" t="str">
        <f aca="false">IF(OR(Q30="",R30=""),"",IF(AND(AA30=Q30,AB30=R30),15,IF(AND(AA30=AB30,Q30=R30),8,IF(AND(AA30&gt;AB30,Q30&gt;R30),IF((AA30-AB30)=(Q30-R30),9,IF(AA30=Q30,7,5)),IF(AND(AA30&lt;AB30,Q30&lt;R30),IF((AB30-AA30)=(R30-Q30),9,IF(AB30=R30,7,5)),0)))))</f>
        <v/>
      </c>
      <c r="AA30" s="1" t="n">
        <f aca="false">IFERROR(VALUE(LEFT(L30,FIND(" - ",L30)-1)),"")</f>
        <v>2</v>
      </c>
      <c r="AB30" s="1" t="n">
        <f aca="false">IFERROR(VALUE(MID(L30,FIND(" - ",L30)+3,10)),"")</f>
        <v>1</v>
      </c>
      <c r="AC30" s="1" t="n">
        <f aca="false">INDEX(Form_L20!$M$5:$M$52,MATCH(D30,Form_L20!$B$5:$B$52,0))*0.6+INDEX(Form_L20!$N$5:$N$52,MATCH(E30,Form_L20!$B$5:$B$52,0))*0.4</f>
        <v>1.68</v>
      </c>
      <c r="AD30" s="1" t="n">
        <f aca="false">INDEX(Form_L20!$M$5:$M$52,MATCH(E30,Form_L20!$B$5:$B$52,0))*0.6+INDEX(Form_L20!$N$5:$N$52,MATCH(D30,Form_L20!$B$5:$B$52,0))*0.4</f>
        <v>1.38</v>
      </c>
    </row>
    <row r="31" customFormat="false" ht="15" hidden="false" customHeight="true" outlineLevel="0" collapsed="false">
      <c r="A31" s="85" t="n">
        <v>26</v>
      </c>
      <c r="B31" s="85" t="s">
        <v>67</v>
      </c>
      <c r="C31" s="86" t="n">
        <v>46191</v>
      </c>
      <c r="D31" s="87" t="s">
        <v>69</v>
      </c>
      <c r="E31" s="87" t="s">
        <v>73</v>
      </c>
      <c r="F31" s="88" t="n">
        <f aca="false">ROUND((INDEX(Form_L20!$R$5:$R$52,MATCH(D31,Form_L20!$B$5:$B$52,0))*40+MIN(2,MAX(-2.5,INDEX(Form_L20!$M$5:$M$52,MATCH(D31,Form_L20!$B$5:$B$52,0))-INDEX(Form_L20!$N$5:$N$52,MATCH(D31,Form_L20!$B$5:$B$52,0))))*8+MIN(1.3,MAX(-0.7,1.3-INDEX(Form_L20!$N$5:$N$52,MATCH(D31,Form_L20!$B$5:$B$52,0))))*6)*INDEX(Form_L20!$Q$5:$Q$52,MATCH(D31,Form_L20!$B$5:$B$52,0))+INDEX(Tactics!$J$5:$J$52,MATCH(D31,Tactics!$B$5:$B$52,0))*0.3+INDEX(Tactics!$H$5:$H$52,MATCH(D31,Tactics!$B$5:$B$52,0))*1.5,1)</f>
        <v>84.1</v>
      </c>
      <c r="G31" s="88" t="n">
        <f aca="false">ROUND((INDEX(Form_L20!$R$5:$R$52,MATCH(E31,Form_L20!$B$5:$B$52,0))*40+MIN(2,MAX(-2.5,INDEX(Form_L20!$M$5:$M$52,MATCH(E31,Form_L20!$B$5:$B$52,0))-INDEX(Form_L20!$N$5:$N$52,MATCH(E31,Form_L20!$B$5:$B$52,0))))*8+MIN(1.3,MAX(-0.7,1.3-INDEX(Form_L20!$N$5:$N$52,MATCH(E31,Form_L20!$B$5:$B$52,0))))*6)*INDEX(Form_L20!$Q$5:$Q$52,MATCH(E31,Form_L20!$B$5:$B$52,0))+INDEX(Tactics!$J$5:$J$52,MATCH(E31,Tactics!$B$5:$B$52,0))*0.3+INDEX(Tactics!$H$5:$H$52,MATCH(E31,Tactics!$B$5:$B$52,0))*1.5,1)</f>
        <v>66.7</v>
      </c>
      <c r="H31" s="89" t="n">
        <f aca="false">F31-G31</f>
        <v>17.4</v>
      </c>
      <c r="I31" s="42" t="n">
        <f aca="false">ROUND((1/(1+10^(-H31/15)))*(1-J31),3)</f>
        <v>0.75</v>
      </c>
      <c r="J31" s="42" t="n">
        <f aca="false">ROUND(MAX(0.19,0.56-ABS(H31)/48),3)</f>
        <v>0.198</v>
      </c>
      <c r="K31" s="42" t="n">
        <f aca="false">ROUND(1-I31-J31,3)</f>
        <v>0.052</v>
      </c>
      <c r="L31" s="90" t="str">
        <f aca="false">IF(AND(J31&gt;=I31,J31&gt;=K31),MAX(0,ROUND((AC31+AD31)/2,0))&amp;" - "&amp;MAX(0,ROUND((AC31+AD31)/2,0)),IF(I31&gt;=K31,MAX(ROUND(AC31+0.35,0),MAX(0,ROUND(AD31-0.15,0))+1)&amp;" - "&amp;MAX(0,ROUND(AD31-0.15,0)),MAX(0,ROUND(AC31-0.15,0))&amp;" - "&amp;MAX(ROUND(AD31+0.35,0),MAX(0,ROUND(AC31-0.15,0))+1)))</f>
        <v>2 - 1</v>
      </c>
      <c r="M31" s="60" t="str">
        <f aca="false">IF(AND(J31&gt;=I31,J31&gt;=K31),"Draw",IF(I31&gt;=K31,D31&amp;" win",E31&amp;" win"))</f>
        <v>Switzerland win</v>
      </c>
      <c r="N31" s="42" t="n">
        <f aca="false">MAX(I31,J31,K31)</f>
        <v>0.75</v>
      </c>
      <c r="O31" s="41"/>
      <c r="P31" s="45"/>
      <c r="Q31" s="91"/>
      <c r="R31" s="91"/>
      <c r="S31" s="92" t="str">
        <f aca="false">IF(OR(Q31="",R31=""),"",IF(Q31&gt;R31,D31&amp;" win",IF(R31&gt;Q31,E31&amp;" win","Draw")))</f>
        <v/>
      </c>
      <c r="T31" s="92" t="str">
        <f aca="false">IF(U31="","",CHOOSE(MATCH(U31,{0,5,7,8,9,15},0),"Errou","Apenas Vencedor","Vencedor+Gols","Empate","Vencedor+Saldo","CRAVADA"))</f>
        <v/>
      </c>
      <c r="U31" s="93" t="str">
        <f aca="false">IF(OR(Q31="",R31=""),"",IF(AND(AA31=Q31,AB31=R31),15,IF(AND(AA31=AB31,Q31=R31),8,IF(AND(AA31&gt;AB31,Q31&gt;R31),IF((AA31-AB31)=(Q31-R31),9,IF(AA31=Q31,7,5)),IF(AND(AA31&lt;AB31,Q31&lt;R31),IF((AB31-AA31)=(R31-Q31),9,IF(AB31=R31,7,5)),0)))))</f>
        <v/>
      </c>
      <c r="AA31" s="1" t="n">
        <f aca="false">IFERROR(VALUE(LEFT(L31,FIND(" - ",L31)-1)),"")</f>
        <v>2</v>
      </c>
      <c r="AB31" s="1" t="n">
        <f aca="false">IFERROR(VALUE(MID(L31,FIND(" - ",L31)+3,10)),"")</f>
        <v>1</v>
      </c>
      <c r="AC31" s="1" t="n">
        <f aca="false">INDEX(Form_L20!$M$5:$M$52,MATCH(D31,Form_L20!$B$5:$B$52,0))*0.6+INDEX(Form_L20!$N$5:$N$52,MATCH(E31,Form_L20!$B$5:$B$52,0))*0.4</f>
        <v>1.76</v>
      </c>
      <c r="AD31" s="1" t="n">
        <f aca="false">INDEX(Form_L20!$M$5:$M$52,MATCH(E31,Form_L20!$B$5:$B$52,0))*0.6+INDEX(Form_L20!$N$5:$N$52,MATCH(D31,Form_L20!$B$5:$B$52,0))*0.4</f>
        <v>1.27333333333333</v>
      </c>
    </row>
    <row r="32" customFormat="false" ht="15" hidden="false" customHeight="true" outlineLevel="0" collapsed="false">
      <c r="A32" s="85" t="n">
        <v>27</v>
      </c>
      <c r="B32" s="85" t="s">
        <v>67</v>
      </c>
      <c r="C32" s="86" t="n">
        <v>46191</v>
      </c>
      <c r="D32" s="87" t="s">
        <v>66</v>
      </c>
      <c r="E32" s="87" t="s">
        <v>71</v>
      </c>
      <c r="F32" s="88" t="n">
        <f aca="false">ROUND((INDEX(Form_L20!$R$5:$R$52,MATCH(D32,Form_L20!$B$5:$B$52,0))*40+MIN(2,MAX(-2.5,INDEX(Form_L20!$M$5:$M$52,MATCH(D32,Form_L20!$B$5:$B$52,0))-INDEX(Form_L20!$N$5:$N$52,MATCH(D32,Form_L20!$B$5:$B$52,0))))*8+MIN(1.3,MAX(-0.7,1.3-INDEX(Form_L20!$N$5:$N$52,MATCH(D32,Form_L20!$B$5:$B$52,0))))*6)*INDEX(Form_L20!$Q$5:$Q$52,MATCH(D32,Form_L20!$B$5:$B$52,0))+INDEX(Tactics!$J$5:$J$52,MATCH(D32,Tactics!$B$5:$B$52,0))*0.3+INDEX(Tactics!$H$5:$H$52,MATCH(D32,Tactics!$B$5:$B$52,0))*1.5,1)</f>
        <v>55.9</v>
      </c>
      <c r="G32" s="88" t="n">
        <f aca="false">ROUND((INDEX(Form_L20!$R$5:$R$52,MATCH(E32,Form_L20!$B$5:$B$52,0))*40+MIN(2,MAX(-2.5,INDEX(Form_L20!$M$5:$M$52,MATCH(E32,Form_L20!$B$5:$B$52,0))-INDEX(Form_L20!$N$5:$N$52,MATCH(E32,Form_L20!$B$5:$B$52,0))))*8+MIN(1.3,MAX(-0.7,1.3-INDEX(Form_L20!$N$5:$N$52,MATCH(E32,Form_L20!$B$5:$B$52,0))))*6)*INDEX(Form_L20!$Q$5:$Q$52,MATCH(E32,Form_L20!$B$5:$B$52,0))+INDEX(Tactics!$J$5:$J$52,MATCH(E32,Tactics!$B$5:$B$52,0))*0.3+INDEX(Tactics!$H$5:$H$52,MATCH(E32,Tactics!$B$5:$B$52,0))*1.5,1)</f>
        <v>41.7</v>
      </c>
      <c r="H32" s="89" t="n">
        <f aca="false">F32-G32</f>
        <v>14.2</v>
      </c>
      <c r="I32" s="42" t="n">
        <f aca="false">ROUND((1/(1+10^(-H32/15)))*(1-J32),3)</f>
        <v>0.661</v>
      </c>
      <c r="J32" s="42" t="n">
        <f aca="false">ROUND(MAX(0.19,0.56-ABS(H32)/48),3)</f>
        <v>0.264</v>
      </c>
      <c r="K32" s="42" t="n">
        <f aca="false">ROUND(1-I32-J32,3)</f>
        <v>0.075</v>
      </c>
      <c r="L32" s="90" t="str">
        <f aca="false">IF(AND(J32&gt;=I32,J32&gt;=K32),MAX(0,ROUND((AC32+AD32)/2,0))&amp;" - "&amp;MAX(0,ROUND((AC32+AD32)/2,0)),IF(I32&gt;=K32,MAX(ROUND(AC32+0.35,0),MAX(0,ROUND(AD32-0.15,0))+1)&amp;" - "&amp;MAX(0,ROUND(AD32-0.15,0)),MAX(0,ROUND(AC32-0.15,0))&amp;" - "&amp;MAX(ROUND(AD32+0.35,0),MAX(0,ROUND(AC32-0.15,0))+1)))</f>
        <v>2 - 1</v>
      </c>
      <c r="M32" s="60" t="str">
        <f aca="false">IF(AND(J32&gt;=I32,J32&gt;=K32),"Draw",IF(I32&gt;=K32,D32&amp;" win",E32&amp;" win"))</f>
        <v>Canada win</v>
      </c>
      <c r="N32" s="42" t="n">
        <f aca="false">MAX(I32,J32,K32)</f>
        <v>0.661</v>
      </c>
      <c r="O32" s="41"/>
      <c r="P32" s="45"/>
      <c r="Q32" s="91"/>
      <c r="R32" s="91"/>
      <c r="S32" s="92" t="str">
        <f aca="false">IF(OR(Q32="",R32=""),"",IF(Q32&gt;R32,D32&amp;" win",IF(R32&gt;Q32,E32&amp;" win","Draw")))</f>
        <v/>
      </c>
      <c r="T32" s="92" t="str">
        <f aca="false">IF(U32="","",CHOOSE(MATCH(U32,{0,5,7,8,9,15},0),"Errou","Apenas Vencedor","Vencedor+Gols","Empate","Vencedor+Saldo","CRAVADA"))</f>
        <v/>
      </c>
      <c r="U32" s="93" t="str">
        <f aca="false">IF(OR(Q32="",R32=""),"",IF(AND(AA32=Q32,AB32=R32),15,IF(AND(AA32=AB32,Q32=R32),8,IF(AND(AA32&gt;AB32,Q32&gt;R32),IF((AA32-AB32)=(Q32-R32),9,IF(AA32=Q32,7,5)),IF(AND(AA32&lt;AB32,Q32&lt;R32),IF((AB32-AA32)=(R32-Q32),9,IF(AB32=R32,7,5)),0)))))</f>
        <v/>
      </c>
      <c r="AA32" s="1" t="n">
        <f aca="false">IFERROR(VALUE(LEFT(L32,FIND(" - ",L32)-1)),"")</f>
        <v>2</v>
      </c>
      <c r="AB32" s="1" t="n">
        <f aca="false">IFERROR(VALUE(MID(L32,FIND(" - ",L32)+3,10)),"")</f>
        <v>1</v>
      </c>
      <c r="AC32" s="1" t="n">
        <f aca="false">INDEX(Form_L20!$M$5:$M$52,MATCH(D32,Form_L20!$B$5:$B$52,0))*0.6+INDEX(Form_L20!$N$5:$N$52,MATCH(E32,Form_L20!$B$5:$B$52,0))*0.4</f>
        <v>1.45333333333333</v>
      </c>
      <c r="AD32" s="1" t="n">
        <f aca="false">INDEX(Form_L20!$M$5:$M$52,MATCH(E32,Form_L20!$B$5:$B$52,0))*0.6+INDEX(Form_L20!$N$5:$N$52,MATCH(D32,Form_L20!$B$5:$B$52,0))*0.4</f>
        <v>1.2</v>
      </c>
    </row>
    <row r="33" customFormat="false" ht="15" hidden="false" customHeight="true" outlineLevel="0" collapsed="false">
      <c r="A33" s="85" t="n">
        <v>28</v>
      </c>
      <c r="B33" s="85" t="s">
        <v>55</v>
      </c>
      <c r="C33" s="86" t="n">
        <v>46191</v>
      </c>
      <c r="D33" s="87" t="s">
        <v>53</v>
      </c>
      <c r="E33" s="87" t="s">
        <v>57</v>
      </c>
      <c r="F33" s="88" t="n">
        <f aca="false">ROUND((INDEX(Form_L20!$R$5:$R$52,MATCH(D33,Form_L20!$B$5:$B$52,0))*40+MIN(2,MAX(-2.5,INDEX(Form_L20!$M$5:$M$52,MATCH(D33,Form_L20!$B$5:$B$52,0))-INDEX(Form_L20!$N$5:$N$52,MATCH(D33,Form_L20!$B$5:$B$52,0))))*8+MIN(1.3,MAX(-0.7,1.3-INDEX(Form_L20!$N$5:$N$52,MATCH(D33,Form_L20!$B$5:$B$52,0))))*6)*INDEX(Form_L20!$Q$5:$Q$52,MATCH(D33,Form_L20!$B$5:$B$52,0))+INDEX(Tactics!$J$5:$J$52,MATCH(D33,Tactics!$B$5:$B$52,0))*0.3+INDEX(Tactics!$H$5:$H$52,MATCH(D33,Tactics!$B$5:$B$52,0))*1.5,1)</f>
        <v>61.7</v>
      </c>
      <c r="G33" s="88" t="n">
        <f aca="false">ROUND((INDEX(Form_L20!$R$5:$R$52,MATCH(E33,Form_L20!$B$5:$B$52,0))*40+MIN(2,MAX(-2.5,INDEX(Form_L20!$M$5:$M$52,MATCH(E33,Form_L20!$B$5:$B$52,0))-INDEX(Form_L20!$N$5:$N$52,MATCH(E33,Form_L20!$B$5:$B$52,0))))*8+MIN(1.3,MAX(-0.7,1.3-INDEX(Form_L20!$N$5:$N$52,MATCH(E33,Form_L20!$B$5:$B$52,0))))*6)*INDEX(Form_L20!$Q$5:$Q$52,MATCH(E33,Form_L20!$B$5:$B$52,0))+INDEX(Tactics!$J$5:$J$52,MATCH(E33,Tactics!$B$5:$B$52,0))*0.3+INDEX(Tactics!$H$5:$H$52,MATCH(E33,Tactics!$B$5:$B$52,0))*1.5,1)</f>
        <v>65.8</v>
      </c>
      <c r="H33" s="89" t="n">
        <f aca="false">F33-G33</f>
        <v>-4.09999999999999</v>
      </c>
      <c r="I33" s="42" t="n">
        <f aca="false">ROUND((1/(1+10^(-H33/15)))*(1-J33),3)</f>
        <v>0.183</v>
      </c>
      <c r="J33" s="42" t="n">
        <f aca="false">ROUND(MAX(0.19,0.56-ABS(H33)/48),3)</f>
        <v>0.475</v>
      </c>
      <c r="K33" s="42" t="n">
        <f aca="false">ROUND(1-I33-J33,3)</f>
        <v>0.342</v>
      </c>
      <c r="L33" s="90" t="str">
        <f aca="false">IF(AND(J33&gt;=I33,J33&gt;=K33),MAX(0,ROUND((AC33+AD33)/2,0))&amp;" - "&amp;MAX(0,ROUND((AC33+AD33)/2,0)),IF(I33&gt;=K33,MAX(ROUND(AC33+0.35,0),MAX(0,ROUND(AD33-0.15,0))+1)&amp;" - "&amp;MAX(0,ROUND(AD33-0.15,0)),MAX(0,ROUND(AC33-0.15,0))&amp;" - "&amp;MAX(ROUND(AD33+0.35,0),MAX(0,ROUND(AC33-0.15,0))+1)))</f>
        <v>1 - 1</v>
      </c>
      <c r="M33" s="60" t="str">
        <f aca="false">IF(AND(J33&gt;=I33,J33&gt;=K33),"Draw",IF(I33&gt;=K33,D33&amp;" win",E33&amp;" win"))</f>
        <v>Draw</v>
      </c>
      <c r="N33" s="42" t="n">
        <f aca="false">MAX(I33,J33,K33)</f>
        <v>0.475</v>
      </c>
      <c r="O33" s="41"/>
      <c r="P33" s="45"/>
      <c r="Q33" s="91"/>
      <c r="R33" s="91"/>
      <c r="S33" s="92" t="str">
        <f aca="false">IF(OR(Q33="",R33=""),"",IF(Q33&gt;R33,D33&amp;" win",IF(R33&gt;Q33,E33&amp;" win","Draw")))</f>
        <v/>
      </c>
      <c r="T33" s="92" t="str">
        <f aca="false">IF(U33="","",CHOOSE(MATCH(U33,{0,5,7,8,9,15},0),"Errou","Apenas Vencedor","Vencedor+Gols","Empate","Vencedor+Saldo","CRAVADA"))</f>
        <v/>
      </c>
      <c r="U33" s="93" t="str">
        <f aca="false">IF(OR(Q33="",R33=""),"",IF(AND(AA33=Q33,AB33=R33),15,IF(AND(AA33=AB33,Q33=R33),8,IF(AND(AA33&gt;AB33,Q33&gt;R33),IF((AA33-AB33)=(Q33-R33),9,IF(AA33=Q33,7,5)),IF(AND(AA33&lt;AB33,Q33&lt;R33),IF((AB33-AA33)=(R33-Q33),9,IF(AB33=R33,7,5)),0)))))</f>
        <v/>
      </c>
      <c r="AA33" s="1" t="n">
        <f aca="false">IFERROR(VALUE(LEFT(L33,FIND(" - ",L33)-1)),"")</f>
        <v>1</v>
      </c>
      <c r="AB33" s="1" t="n">
        <f aca="false">IFERROR(VALUE(MID(L33,FIND(" - ",L33)+3,10)),"")</f>
        <v>1</v>
      </c>
      <c r="AC33" s="1" t="n">
        <f aca="false">INDEX(Form_L20!$M$5:$M$52,MATCH(D33,Form_L20!$B$5:$B$52,0))*0.6+INDEX(Form_L20!$N$5:$N$52,MATCH(E33,Form_L20!$B$5:$B$52,0))*0.4</f>
        <v>1.23652173913043</v>
      </c>
      <c r="AD33" s="1" t="n">
        <f aca="false">INDEX(Form_L20!$M$5:$M$52,MATCH(E33,Form_L20!$B$5:$B$52,0))*0.6+INDEX(Form_L20!$N$5:$N$52,MATCH(D33,Form_L20!$B$5:$B$52,0))*0.4</f>
        <v>1.61565217391304</v>
      </c>
    </row>
    <row r="34" customFormat="false" ht="15" hidden="false" customHeight="true" outlineLevel="0" collapsed="false">
      <c r="A34" s="85" t="n">
        <v>29</v>
      </c>
      <c r="B34" s="85" t="s">
        <v>85</v>
      </c>
      <c r="C34" s="86" t="n">
        <v>46192</v>
      </c>
      <c r="D34" s="87" t="s">
        <v>84</v>
      </c>
      <c r="E34" s="87" t="s">
        <v>89</v>
      </c>
      <c r="F34" s="88" t="n">
        <f aca="false">ROUND((INDEX(Form_L20!$R$5:$R$52,MATCH(D34,Form_L20!$B$5:$B$52,0))*40+MIN(2,MAX(-2.5,INDEX(Form_L20!$M$5:$M$52,MATCH(D34,Form_L20!$B$5:$B$52,0))-INDEX(Form_L20!$N$5:$N$52,MATCH(D34,Form_L20!$B$5:$B$52,0))))*8+MIN(1.3,MAX(-0.7,1.3-INDEX(Form_L20!$N$5:$N$52,MATCH(D34,Form_L20!$B$5:$B$52,0))))*6)*INDEX(Form_L20!$Q$5:$Q$52,MATCH(D34,Form_L20!$B$5:$B$52,0))+INDEX(Tactics!$J$5:$J$52,MATCH(D34,Tactics!$B$5:$B$52,0))*0.3+INDEX(Tactics!$H$5:$H$52,MATCH(D34,Tactics!$B$5:$B$52,0))*1.5,1)</f>
        <v>55.1</v>
      </c>
      <c r="G34" s="88" t="n">
        <f aca="false">ROUND((INDEX(Form_L20!$R$5:$R$52,MATCH(E34,Form_L20!$B$5:$B$52,0))*40+MIN(2,MAX(-2.5,INDEX(Form_L20!$M$5:$M$52,MATCH(E34,Form_L20!$B$5:$B$52,0))-INDEX(Form_L20!$N$5:$N$52,MATCH(E34,Form_L20!$B$5:$B$52,0))))*8+MIN(1.3,MAX(-0.7,1.3-INDEX(Form_L20!$N$5:$N$52,MATCH(E34,Form_L20!$B$5:$B$52,0))))*6)*INDEX(Form_L20!$Q$5:$Q$52,MATCH(E34,Form_L20!$B$5:$B$52,0))+INDEX(Tactics!$J$5:$J$52,MATCH(E34,Tactics!$B$5:$B$52,0))*0.3+INDEX(Tactics!$H$5:$H$52,MATCH(E34,Tactics!$B$5:$B$52,0))*1.5,1)</f>
        <v>58</v>
      </c>
      <c r="H34" s="89" t="n">
        <f aca="false">F34-G34</f>
        <v>-2.9</v>
      </c>
      <c r="I34" s="42" t="n">
        <f aca="false">ROUND((1/(1+10^(-H34/15)))*(1-J34),3)</f>
        <v>0.195</v>
      </c>
      <c r="J34" s="42" t="n">
        <f aca="false">ROUND(MAX(0.19,0.56-ABS(H34)/48),3)</f>
        <v>0.5</v>
      </c>
      <c r="K34" s="42" t="n">
        <f aca="false">ROUND(1-I34-J34,3)</f>
        <v>0.305</v>
      </c>
      <c r="L34" s="90" t="str">
        <f aca="false">IF(AND(J34&gt;=I34,J34&gt;=K34),MAX(0,ROUND((AC34+AD34)/2,0))&amp;" - "&amp;MAX(0,ROUND((AC34+AD34)/2,0)),IF(I34&gt;=K34,MAX(ROUND(AC34+0.35,0),MAX(0,ROUND(AD34-0.15,0))+1)&amp;" - "&amp;MAX(0,ROUND(AD34-0.15,0)),MAX(0,ROUND(AC34-0.15,0))&amp;" - "&amp;MAX(ROUND(AD34+0.35,0),MAX(0,ROUND(AC34-0.15,0))+1)))</f>
        <v>1 - 1</v>
      </c>
      <c r="M34" s="60" t="str">
        <f aca="false">IF(AND(J34&gt;=I34,J34&gt;=K34),"Draw",IF(I34&gt;=K34,D34&amp;" win",E34&amp;" win"))</f>
        <v>Draw</v>
      </c>
      <c r="N34" s="42" t="n">
        <f aca="false">MAX(I34,J34,K34)</f>
        <v>0.5</v>
      </c>
      <c r="O34" s="41"/>
      <c r="P34" s="45"/>
      <c r="Q34" s="91"/>
      <c r="R34" s="91"/>
      <c r="S34" s="92" t="str">
        <f aca="false">IF(OR(Q34="",R34=""),"",IF(Q34&gt;R34,D34&amp;" win",IF(R34&gt;Q34,E34&amp;" win","Draw")))</f>
        <v/>
      </c>
      <c r="T34" s="92" t="str">
        <f aca="false">IF(U34="","",CHOOSE(MATCH(U34,{0,5,7,8,9,15},0),"Errou","Apenas Vencedor","Vencedor+Gols","Empate","Vencedor+Saldo","CRAVADA"))</f>
        <v/>
      </c>
      <c r="U34" s="93" t="str">
        <f aca="false">IF(OR(Q34="",R34=""),"",IF(AND(AA34=Q34,AB34=R34),15,IF(AND(AA34=AB34,Q34=R34),8,IF(AND(AA34&gt;AB34,Q34&gt;R34),IF((AA34-AB34)=(Q34-R34),9,IF(AA34=Q34,7,5)),IF(AND(AA34&lt;AB34,Q34&lt;R34),IF((AB34-AA34)=(R34-Q34),9,IF(AB34=R34,7,5)),0)))))</f>
        <v/>
      </c>
      <c r="AA34" s="1" t="n">
        <f aca="false">IFERROR(VALUE(LEFT(L34,FIND(" - ",L34)-1)),"")</f>
        <v>1</v>
      </c>
      <c r="AB34" s="1" t="n">
        <f aca="false">IFERROR(VALUE(MID(L34,FIND(" - ",L34)+3,10)),"")</f>
        <v>1</v>
      </c>
      <c r="AC34" s="1" t="n">
        <f aca="false">INDEX(Form_L20!$M$5:$M$52,MATCH(D34,Form_L20!$B$5:$B$52,0))*0.6+INDEX(Form_L20!$N$5:$N$52,MATCH(E34,Form_L20!$B$5:$B$52,0))*0.4</f>
        <v>1.29142857142857</v>
      </c>
      <c r="AD34" s="1" t="n">
        <f aca="false">INDEX(Form_L20!$M$5:$M$52,MATCH(E34,Form_L20!$B$5:$B$52,0))*0.6+INDEX(Form_L20!$N$5:$N$52,MATCH(D34,Form_L20!$B$5:$B$52,0))*0.4</f>
        <v>1.57238095238095</v>
      </c>
    </row>
    <row r="35" customFormat="false" ht="15" hidden="false" customHeight="true" outlineLevel="0" collapsed="false">
      <c r="A35" s="85" t="n">
        <v>30</v>
      </c>
      <c r="B35" s="85" t="s">
        <v>77</v>
      </c>
      <c r="C35" s="86" t="n">
        <v>46192</v>
      </c>
      <c r="D35" s="87" t="s">
        <v>81</v>
      </c>
      <c r="E35" s="87" t="s">
        <v>79</v>
      </c>
      <c r="F35" s="88" t="n">
        <f aca="false">ROUND((INDEX(Form_L20!$R$5:$R$52,MATCH(D35,Form_L20!$B$5:$B$52,0))*40+MIN(2,MAX(-2.5,INDEX(Form_L20!$M$5:$M$52,MATCH(D35,Form_L20!$B$5:$B$52,0))-INDEX(Form_L20!$N$5:$N$52,MATCH(D35,Form_L20!$B$5:$B$52,0))))*8+MIN(1.3,MAX(-0.7,1.3-INDEX(Form_L20!$N$5:$N$52,MATCH(D35,Form_L20!$B$5:$B$52,0))))*6)*INDEX(Form_L20!$Q$5:$Q$52,MATCH(D35,Form_L20!$B$5:$B$52,0))+INDEX(Tactics!$J$5:$J$52,MATCH(D35,Tactics!$B$5:$B$52,0))*0.3+INDEX(Tactics!$H$5:$H$52,MATCH(D35,Tactics!$B$5:$B$52,0))*1.5,1)</f>
        <v>70.7</v>
      </c>
      <c r="G35" s="88" t="n">
        <f aca="false">ROUND((INDEX(Form_L20!$R$5:$R$52,MATCH(E35,Form_L20!$B$5:$B$52,0))*40+MIN(2,MAX(-2.5,INDEX(Form_L20!$M$5:$M$52,MATCH(E35,Form_L20!$B$5:$B$52,0))-INDEX(Form_L20!$N$5:$N$52,MATCH(E35,Form_L20!$B$5:$B$52,0))))*8+MIN(1.3,MAX(-0.7,1.3-INDEX(Form_L20!$N$5:$N$52,MATCH(E35,Form_L20!$B$5:$B$52,0))))*6)*INDEX(Form_L20!$Q$5:$Q$52,MATCH(E35,Form_L20!$B$5:$B$52,0))+INDEX(Tactics!$J$5:$J$52,MATCH(E35,Tactics!$B$5:$B$52,0))*0.3+INDEX(Tactics!$H$5:$H$52,MATCH(E35,Tactics!$B$5:$B$52,0))*1.5,1)</f>
        <v>72.3</v>
      </c>
      <c r="H35" s="89" t="n">
        <f aca="false">F35-G35</f>
        <v>-1.59999999999999</v>
      </c>
      <c r="I35" s="42" t="n">
        <f aca="false">ROUND((1/(1+10^(-H35/15)))*(1-J35),3)</f>
        <v>0.208</v>
      </c>
      <c r="J35" s="42" t="n">
        <f aca="false">ROUND(MAX(0.19,0.56-ABS(H35)/48),3)</f>
        <v>0.527</v>
      </c>
      <c r="K35" s="42" t="n">
        <f aca="false">ROUND(1-I35-J35,3)</f>
        <v>0.265</v>
      </c>
      <c r="L35" s="90" t="str">
        <f aca="false">IF(AND(J35&gt;=I35,J35&gt;=K35),MAX(0,ROUND((AC35+AD35)/2,0))&amp;" - "&amp;MAX(0,ROUND((AC35+AD35)/2,0)),IF(I35&gt;=K35,MAX(ROUND(AC35+0.35,0),MAX(0,ROUND(AD35-0.15,0))+1)&amp;" - "&amp;MAX(0,ROUND(AD35-0.15,0)),MAX(0,ROUND(AC35-0.15,0))&amp;" - "&amp;MAX(ROUND(AD35+0.35,0),MAX(0,ROUND(AC35-0.15,0))+1)))</f>
        <v>2 - 2</v>
      </c>
      <c r="M35" s="60" t="str">
        <f aca="false">IF(AND(J35&gt;=I35,J35&gt;=K35),"Draw",IF(I35&gt;=K35,D35&amp;" win",E35&amp;" win"))</f>
        <v>Draw</v>
      </c>
      <c r="N35" s="42" t="n">
        <f aca="false">MAX(I35,J35,K35)</f>
        <v>0.527</v>
      </c>
      <c r="O35" s="41"/>
      <c r="P35" s="45"/>
      <c r="Q35" s="91"/>
      <c r="R35" s="91"/>
      <c r="S35" s="92" t="str">
        <f aca="false">IF(OR(Q35="",R35=""),"",IF(Q35&gt;R35,D35&amp;" win",IF(R35&gt;Q35,E35&amp;" win","Draw")))</f>
        <v/>
      </c>
      <c r="T35" s="92" t="str">
        <f aca="false">IF(U35="","",CHOOSE(MATCH(U35,{0,5,7,8,9,15},0),"Errou","Apenas Vencedor","Vencedor+Gols","Empate","Vencedor+Saldo","CRAVADA"))</f>
        <v/>
      </c>
      <c r="U35" s="93" t="str">
        <f aca="false">IF(OR(Q35="",R35=""),"",IF(AND(AA35=Q35,AB35=R35),15,IF(AND(AA35=AB35,Q35=R35),8,IF(AND(AA35&gt;AB35,Q35&gt;R35),IF((AA35-AB35)=(Q35-R35),9,IF(AA35=Q35,7,5)),IF(AND(AA35&lt;AB35,Q35&lt;R35),IF((AB35-AA35)=(R35-Q35),9,IF(AB35=R35,7,5)),0)))))</f>
        <v/>
      </c>
      <c r="AA35" s="1" t="n">
        <f aca="false">IFERROR(VALUE(LEFT(L35,FIND(" - ",L35)-1)),"")</f>
        <v>2</v>
      </c>
      <c r="AB35" s="1" t="n">
        <f aca="false">IFERROR(VALUE(MID(L35,FIND(" - ",L35)+3,10)),"")</f>
        <v>2</v>
      </c>
      <c r="AC35" s="1" t="n">
        <f aca="false">INDEX(Form_L20!$M$5:$M$52,MATCH(D35,Form_L20!$B$5:$B$52,0))*0.6+INDEX(Form_L20!$N$5:$N$52,MATCH(E35,Form_L20!$B$5:$B$52,0))*0.4</f>
        <v>1.58</v>
      </c>
      <c r="AD35" s="1" t="n">
        <f aca="false">INDEX(Form_L20!$M$5:$M$52,MATCH(E35,Form_L20!$B$5:$B$52,0))*0.6+INDEX(Form_L20!$N$5:$N$52,MATCH(D35,Form_L20!$B$5:$B$52,0))*0.4</f>
        <v>1.45666666666667</v>
      </c>
    </row>
    <row r="36" customFormat="false" ht="15" hidden="false" customHeight="true" outlineLevel="0" collapsed="false">
      <c r="A36" s="85" t="n">
        <v>31</v>
      </c>
      <c r="B36" s="85" t="s">
        <v>77</v>
      </c>
      <c r="C36" s="86" t="n">
        <v>46192</v>
      </c>
      <c r="D36" s="87" t="s">
        <v>75</v>
      </c>
      <c r="E36" s="87" t="s">
        <v>82</v>
      </c>
      <c r="F36" s="88" t="n">
        <f aca="false">ROUND((INDEX(Form_L20!$R$5:$R$52,MATCH(D36,Form_L20!$B$5:$B$52,0))*40+MIN(2,MAX(-2.5,INDEX(Form_L20!$M$5:$M$52,MATCH(D36,Form_L20!$B$5:$B$52,0))-INDEX(Form_L20!$N$5:$N$52,MATCH(D36,Form_L20!$B$5:$B$52,0))))*8+MIN(1.3,MAX(-0.7,1.3-INDEX(Form_L20!$N$5:$N$52,MATCH(D36,Form_L20!$B$5:$B$52,0))))*6)*INDEX(Form_L20!$Q$5:$Q$52,MATCH(D36,Form_L20!$B$5:$B$52,0))+INDEX(Tactics!$J$5:$J$52,MATCH(D36,Tactics!$B$5:$B$52,0))*0.3+INDEX(Tactics!$H$5:$H$52,MATCH(D36,Tactics!$B$5:$B$52,0))*1.5,1)</f>
        <v>77.2</v>
      </c>
      <c r="G36" s="88" t="n">
        <f aca="false">ROUND((INDEX(Form_L20!$R$5:$R$52,MATCH(E36,Form_L20!$B$5:$B$52,0))*40+MIN(2,MAX(-2.5,INDEX(Form_L20!$M$5:$M$52,MATCH(E36,Form_L20!$B$5:$B$52,0))-INDEX(Form_L20!$N$5:$N$52,MATCH(E36,Form_L20!$B$5:$B$52,0))))*8+MIN(1.3,MAX(-0.7,1.3-INDEX(Form_L20!$N$5:$N$52,MATCH(E36,Form_L20!$B$5:$B$52,0))))*6)*INDEX(Form_L20!$Q$5:$Q$52,MATCH(E36,Form_L20!$B$5:$B$52,0))+INDEX(Tactics!$J$5:$J$52,MATCH(E36,Tactics!$B$5:$B$52,0))*0.3+INDEX(Tactics!$H$5:$H$52,MATCH(E36,Tactics!$B$5:$B$52,0))*1.5,1)</f>
        <v>52.7</v>
      </c>
      <c r="H36" s="89" t="n">
        <f aca="false">F36-G36</f>
        <v>24.5</v>
      </c>
      <c r="I36" s="42" t="n">
        <f aca="false">ROUND((1/(1+10^(-H36/15)))*(1-J36),3)</f>
        <v>0.792</v>
      </c>
      <c r="J36" s="42" t="n">
        <f aca="false">ROUND(MAX(0.19,0.56-ABS(H36)/48),3)</f>
        <v>0.19</v>
      </c>
      <c r="K36" s="42" t="n">
        <f aca="false">ROUND(1-I36-J36,3)</f>
        <v>0.018</v>
      </c>
      <c r="L36" s="90" t="str">
        <f aca="false">IF(AND(J36&gt;=I36,J36&gt;=K36),MAX(0,ROUND((AC36+AD36)/2,0))&amp;" - "&amp;MAX(0,ROUND((AC36+AD36)/2,0)),IF(I36&gt;=K36,MAX(ROUND(AC36+0.35,0),MAX(0,ROUND(AD36-0.15,0))+1)&amp;" - "&amp;MAX(0,ROUND(AD36-0.15,0)),MAX(0,ROUND(AC36-0.15,0))&amp;" - "&amp;MAX(ROUND(AD36+0.35,0),MAX(0,ROUND(AC36-0.15,0))+1)))</f>
        <v>2 - 1</v>
      </c>
      <c r="M36" s="60" t="str">
        <f aca="false">IF(AND(J36&gt;=I36,J36&gt;=K36),"Draw",IF(I36&gt;=K36,D36&amp;" win",E36&amp;" win"))</f>
        <v>Brazil win</v>
      </c>
      <c r="N36" s="42" t="n">
        <f aca="false">MAX(I36,J36,K36)</f>
        <v>0.792</v>
      </c>
      <c r="O36" s="41"/>
      <c r="P36" s="45"/>
      <c r="Q36" s="91"/>
      <c r="R36" s="91"/>
      <c r="S36" s="92" t="str">
        <f aca="false">IF(OR(Q36="",R36=""),"",IF(Q36&gt;R36,D36&amp;" win",IF(R36&gt;Q36,E36&amp;" win","Draw")))</f>
        <v/>
      </c>
      <c r="T36" s="92" t="str">
        <f aca="false">IF(U36="","",CHOOSE(MATCH(U36,{0,5,7,8,9,15},0),"Errou","Apenas Vencedor","Vencedor+Gols","Empate","Vencedor+Saldo","CRAVADA"))</f>
        <v/>
      </c>
      <c r="U36" s="93" t="str">
        <f aca="false">IF(OR(Q36="",R36=""),"",IF(AND(AA36=Q36,AB36=R36),15,IF(AND(AA36=AB36,Q36=R36),8,IF(AND(AA36&gt;AB36,Q36&gt;R36),IF((AA36-AB36)=(Q36-R36),9,IF(AA36=Q36,7,5)),IF(AND(AA36&lt;AB36,Q36&lt;R36),IF((AB36-AA36)=(R36-Q36),9,IF(AB36=R36,7,5)),0)))))</f>
        <v/>
      </c>
      <c r="AA36" s="1" t="n">
        <f aca="false">IFERROR(VALUE(LEFT(L36,FIND(" - ",L36)-1)),"")</f>
        <v>2</v>
      </c>
      <c r="AB36" s="1" t="n">
        <f aca="false">IFERROR(VALUE(MID(L36,FIND(" - ",L36)+3,10)),"")</f>
        <v>1</v>
      </c>
      <c r="AC36" s="1" t="n">
        <f aca="false">INDEX(Form_L20!$M$5:$M$52,MATCH(D36,Form_L20!$B$5:$B$52,0))*0.6+INDEX(Form_L20!$N$5:$N$52,MATCH(E36,Form_L20!$B$5:$B$52,0))*0.4</f>
        <v>1.54</v>
      </c>
      <c r="AD36" s="1" t="n">
        <f aca="false">INDEX(Form_L20!$M$5:$M$52,MATCH(E36,Form_L20!$B$5:$B$52,0))*0.6+INDEX(Form_L20!$N$5:$N$52,MATCH(D36,Form_L20!$B$5:$B$52,0))*0.4</f>
        <v>1.2</v>
      </c>
    </row>
    <row r="37" customFormat="false" ht="15" hidden="false" customHeight="true" outlineLevel="0" collapsed="false">
      <c r="A37" s="85" t="n">
        <v>32</v>
      </c>
      <c r="B37" s="85" t="s">
        <v>85</v>
      </c>
      <c r="C37" s="86" t="n">
        <v>46192</v>
      </c>
      <c r="D37" s="87" t="s">
        <v>91</v>
      </c>
      <c r="E37" s="87" t="s">
        <v>87</v>
      </c>
      <c r="F37" s="88" t="n">
        <f aca="false">ROUND((INDEX(Form_L20!$R$5:$R$52,MATCH(D37,Form_L20!$B$5:$B$52,0))*40+MIN(2,MAX(-2.5,INDEX(Form_L20!$M$5:$M$52,MATCH(D37,Form_L20!$B$5:$B$52,0))-INDEX(Form_L20!$N$5:$N$52,MATCH(D37,Form_L20!$B$5:$B$52,0))))*8+MIN(1.3,MAX(-0.7,1.3-INDEX(Form_L20!$N$5:$N$52,MATCH(D37,Form_L20!$B$5:$B$52,0))))*6)*INDEX(Form_L20!$Q$5:$Q$52,MATCH(D37,Form_L20!$B$5:$B$52,0))+INDEX(Tactics!$J$5:$J$52,MATCH(D37,Tactics!$B$5:$B$52,0))*0.3+INDEX(Tactics!$H$5:$H$52,MATCH(D37,Tactics!$B$5:$B$52,0))*1.5,1)</f>
        <v>71.1</v>
      </c>
      <c r="G37" s="88" t="n">
        <f aca="false">ROUND((INDEX(Form_L20!$R$5:$R$52,MATCH(E37,Form_L20!$B$5:$B$52,0))*40+MIN(2,MAX(-2.5,INDEX(Form_L20!$M$5:$M$52,MATCH(E37,Form_L20!$B$5:$B$52,0))-INDEX(Form_L20!$N$5:$N$52,MATCH(E37,Form_L20!$B$5:$B$52,0))))*8+MIN(1.3,MAX(-0.7,1.3-INDEX(Form_L20!$N$5:$N$52,MATCH(E37,Form_L20!$B$5:$B$52,0))))*6)*INDEX(Form_L20!$Q$5:$Q$52,MATCH(E37,Form_L20!$B$5:$B$52,0))+INDEX(Tactics!$J$5:$J$52,MATCH(E37,Tactics!$B$5:$B$52,0))*0.3+INDEX(Tactics!$H$5:$H$52,MATCH(E37,Tactics!$B$5:$B$52,0))*1.5,1)</f>
        <v>54.6</v>
      </c>
      <c r="H37" s="89" t="n">
        <f aca="false">F37-G37</f>
        <v>16.5</v>
      </c>
      <c r="I37" s="42" t="n">
        <f aca="false">ROUND((1/(1+10^(-H37/15)))*(1-J37),3)</f>
        <v>0.726</v>
      </c>
      <c r="J37" s="42" t="n">
        <f aca="false">ROUND(MAX(0.19,0.56-ABS(H37)/48),3)</f>
        <v>0.216</v>
      </c>
      <c r="K37" s="42" t="n">
        <f aca="false">ROUND(1-I37-J37,3)</f>
        <v>0.058</v>
      </c>
      <c r="L37" s="90" t="str">
        <f aca="false">IF(AND(J37&gt;=I37,J37&gt;=K37),MAX(0,ROUND((AC37+AD37)/2,0))&amp;" - "&amp;MAX(0,ROUND((AC37+AD37)/2,0)),IF(I37&gt;=K37,MAX(ROUND(AC37+0.35,0),MAX(0,ROUND(AD37-0.15,0))+1)&amp;" - "&amp;MAX(0,ROUND(AD37-0.15,0)),MAX(0,ROUND(AC37-0.15,0))&amp;" - "&amp;MAX(ROUND(AD37+0.35,0),MAX(0,ROUND(AC37-0.15,0))+1)))</f>
        <v>2 - 1</v>
      </c>
      <c r="M37" s="60" t="str">
        <f aca="false">IF(AND(J37&gt;=I37,J37&gt;=K37),"Draw",IF(I37&gt;=K37,D37&amp;" win",E37&amp;" win"))</f>
        <v>Türkiye win</v>
      </c>
      <c r="N37" s="42" t="n">
        <f aca="false">MAX(I37,J37,K37)</f>
        <v>0.726</v>
      </c>
      <c r="O37" s="41"/>
      <c r="P37" s="45"/>
      <c r="Q37" s="91"/>
      <c r="R37" s="91"/>
      <c r="S37" s="92" t="str">
        <f aca="false">IF(OR(Q37="",R37=""),"",IF(Q37&gt;R37,D37&amp;" win",IF(R37&gt;Q37,E37&amp;" win","Draw")))</f>
        <v/>
      </c>
      <c r="T37" s="92" t="str">
        <f aca="false">IF(U37="","",CHOOSE(MATCH(U37,{0,5,7,8,9,15},0),"Errou","Apenas Vencedor","Vencedor+Gols","Empate","Vencedor+Saldo","CRAVADA"))</f>
        <v/>
      </c>
      <c r="U37" s="93" t="str">
        <f aca="false">IF(OR(Q37="",R37=""),"",IF(AND(AA37=Q37,AB37=R37),15,IF(AND(AA37=AB37,Q37=R37),8,IF(AND(AA37&gt;AB37,Q37&gt;R37),IF((AA37-AB37)=(Q37-R37),9,IF(AA37=Q37,7,5)),IF(AND(AA37&lt;AB37,Q37&lt;R37),IF((AB37-AA37)=(R37-Q37),9,IF(AB37=R37,7,5)),0)))))</f>
        <v/>
      </c>
      <c r="AA37" s="1" t="n">
        <f aca="false">IFERROR(VALUE(LEFT(L37,FIND(" - ",L37)-1)),"")</f>
        <v>2</v>
      </c>
      <c r="AB37" s="1" t="n">
        <f aca="false">IFERROR(VALUE(MID(L37,FIND(" - ",L37)+3,10)),"")</f>
        <v>1</v>
      </c>
      <c r="AC37" s="1" t="n">
        <f aca="false">INDEX(Form_L20!$M$5:$M$52,MATCH(D37,Form_L20!$B$5:$B$52,0))*0.6+INDEX(Form_L20!$N$5:$N$52,MATCH(E37,Form_L20!$B$5:$B$52,0))*0.4</f>
        <v>1.76785714285714</v>
      </c>
      <c r="AD37" s="1" t="n">
        <f aca="false">INDEX(Form_L20!$M$5:$M$52,MATCH(E37,Form_L20!$B$5:$B$52,0))*0.6+INDEX(Form_L20!$N$5:$N$52,MATCH(D37,Form_L20!$B$5:$B$52,0))*0.4</f>
        <v>1.08571428571429</v>
      </c>
    </row>
    <row r="38" customFormat="false" ht="15" hidden="false" customHeight="true" outlineLevel="0" collapsed="false">
      <c r="A38" s="85" t="n">
        <v>33</v>
      </c>
      <c r="B38" s="85" t="s">
        <v>102</v>
      </c>
      <c r="C38" s="86" t="n">
        <v>46193</v>
      </c>
      <c r="D38" s="87" t="s">
        <v>101</v>
      </c>
      <c r="E38" s="87" t="s">
        <v>107</v>
      </c>
      <c r="F38" s="88" t="n">
        <f aca="false">ROUND((INDEX(Form_L20!$R$5:$R$52,MATCH(D38,Form_L20!$B$5:$B$52,0))*40+MIN(2,MAX(-2.5,INDEX(Form_L20!$M$5:$M$52,MATCH(D38,Form_L20!$B$5:$B$52,0))-INDEX(Form_L20!$N$5:$N$52,MATCH(D38,Form_L20!$B$5:$B$52,0))))*8+MIN(1.3,MAX(-0.7,1.3-INDEX(Form_L20!$N$5:$N$52,MATCH(D38,Form_L20!$B$5:$B$52,0))))*6)*INDEX(Form_L20!$Q$5:$Q$52,MATCH(D38,Form_L20!$B$5:$B$52,0))+INDEX(Tactics!$J$5:$J$52,MATCH(D38,Tactics!$B$5:$B$52,0))*0.3+INDEX(Tactics!$H$5:$H$52,MATCH(D38,Tactics!$B$5:$B$52,0))*1.5,1)</f>
        <v>80.4</v>
      </c>
      <c r="G38" s="88" t="n">
        <f aca="false">ROUND((INDEX(Form_L20!$R$5:$R$52,MATCH(E38,Form_L20!$B$5:$B$52,0))*40+MIN(2,MAX(-2.5,INDEX(Form_L20!$M$5:$M$52,MATCH(E38,Form_L20!$B$5:$B$52,0))-INDEX(Form_L20!$N$5:$N$52,MATCH(E38,Form_L20!$B$5:$B$52,0))))*8+MIN(1.3,MAX(-0.7,1.3-INDEX(Form_L20!$N$5:$N$52,MATCH(E38,Form_L20!$B$5:$B$52,0))))*6)*INDEX(Form_L20!$Q$5:$Q$52,MATCH(E38,Form_L20!$B$5:$B$52,0))+INDEX(Tactics!$J$5:$J$52,MATCH(E38,Tactics!$B$5:$B$52,0))*0.3+INDEX(Tactics!$H$5:$H$52,MATCH(E38,Tactics!$B$5:$B$52,0))*1.5,1)</f>
        <v>37.1</v>
      </c>
      <c r="H38" s="89" t="n">
        <f aca="false">F38-G38</f>
        <v>43.3</v>
      </c>
      <c r="I38" s="42" t="n">
        <f aca="false">ROUND((1/(1+10^(-H38/15)))*(1-J38),3)</f>
        <v>0.809</v>
      </c>
      <c r="J38" s="42" t="n">
        <f aca="false">ROUND(MAX(0.19,0.56-ABS(H38)/48),3)</f>
        <v>0.19</v>
      </c>
      <c r="K38" s="42" t="n">
        <f aca="false">ROUND(1-I38-J38,3)</f>
        <v>0.001</v>
      </c>
      <c r="L38" s="90" t="str">
        <f aca="false">IF(AND(J38&gt;=I38,J38&gt;=K38),MAX(0,ROUND((AC38+AD38)/2,0))&amp;" - "&amp;MAX(0,ROUND((AC38+AD38)/2,0)),IF(I38&gt;=K38,MAX(ROUND(AC38+0.35,0),MAX(0,ROUND(AD38-0.15,0))+1)&amp;" - "&amp;MAX(0,ROUND(AD38-0.15,0)),MAX(0,ROUND(AC38-0.15,0))&amp;" - "&amp;MAX(ROUND(AD38+0.35,0),MAX(0,ROUND(AC38-0.15,0))+1)))</f>
        <v>2 - 1</v>
      </c>
      <c r="M38" s="60" t="str">
        <f aca="false">IF(AND(J38&gt;=I38,J38&gt;=K38),"Draw",IF(I38&gt;=K38,D38&amp;" win",E38&amp;" win"))</f>
        <v>Netherlands win</v>
      </c>
      <c r="N38" s="42" t="n">
        <f aca="false">MAX(I38,J38,K38)</f>
        <v>0.809</v>
      </c>
      <c r="O38" s="41"/>
      <c r="P38" s="45"/>
      <c r="Q38" s="91"/>
      <c r="R38" s="91"/>
      <c r="S38" s="92" t="str">
        <f aca="false">IF(OR(Q38="",R38=""),"",IF(Q38&gt;R38,D38&amp;" win",IF(R38&gt;Q38,E38&amp;" win","Draw")))</f>
        <v/>
      </c>
      <c r="T38" s="92" t="str">
        <f aca="false">IF(U38="","",CHOOSE(MATCH(U38,{0,5,7,8,9,15},0),"Errou","Apenas Vencedor","Vencedor+Gols","Empate","Vencedor+Saldo","CRAVADA"))</f>
        <v/>
      </c>
      <c r="U38" s="93" t="str">
        <f aca="false">IF(OR(Q38="",R38=""),"",IF(AND(AA38=Q38,AB38=R38),15,IF(AND(AA38=AB38,Q38=R38),8,IF(AND(AA38&gt;AB38,Q38&gt;R38),IF((AA38-AB38)=(Q38-R38),9,IF(AA38=Q38,7,5)),IF(AND(AA38&lt;AB38,Q38&lt;R38),IF((AB38-AA38)=(R38-Q38),9,IF(AB38=R38,7,5)),0)))))</f>
        <v/>
      </c>
      <c r="AA38" s="1" t="n">
        <f aca="false">IFERROR(VALUE(LEFT(L38,FIND(" - ",L38)-1)),"")</f>
        <v>2</v>
      </c>
      <c r="AB38" s="1" t="n">
        <f aca="false">IFERROR(VALUE(MID(L38,FIND(" - ",L38)+3,10)),"")</f>
        <v>1</v>
      </c>
      <c r="AC38" s="1" t="n">
        <f aca="false">INDEX(Form_L20!$M$5:$M$52,MATCH(D38,Form_L20!$B$5:$B$52,0))*0.6+INDEX(Form_L20!$N$5:$N$52,MATCH(E38,Form_L20!$B$5:$B$52,0))*0.4</f>
        <v>1.98</v>
      </c>
      <c r="AD38" s="1" t="n">
        <f aca="false">INDEX(Form_L20!$M$5:$M$52,MATCH(E38,Form_L20!$B$5:$B$52,0))*0.6+INDEX(Form_L20!$N$5:$N$52,MATCH(D38,Form_L20!$B$5:$B$52,0))*0.4</f>
        <v>1.07</v>
      </c>
    </row>
    <row r="39" customFormat="false" ht="15" hidden="false" customHeight="true" outlineLevel="0" collapsed="false">
      <c r="A39" s="85" t="n">
        <v>34</v>
      </c>
      <c r="B39" s="85" t="s">
        <v>94</v>
      </c>
      <c r="C39" s="86" t="n">
        <v>46193</v>
      </c>
      <c r="D39" s="87" t="s">
        <v>93</v>
      </c>
      <c r="E39" s="87" t="s">
        <v>98</v>
      </c>
      <c r="F39" s="88" t="n">
        <f aca="false">ROUND((INDEX(Form_L20!$R$5:$R$52,MATCH(D39,Form_L20!$B$5:$B$52,0))*40+MIN(2,MAX(-2.5,INDEX(Form_L20!$M$5:$M$52,MATCH(D39,Form_L20!$B$5:$B$52,0))-INDEX(Form_L20!$N$5:$N$52,MATCH(D39,Form_L20!$B$5:$B$52,0))))*8+MIN(1.3,MAX(-0.7,1.3-INDEX(Form_L20!$N$5:$N$52,MATCH(D39,Form_L20!$B$5:$B$52,0))))*6)*INDEX(Form_L20!$Q$5:$Q$52,MATCH(D39,Form_L20!$B$5:$B$52,0))+INDEX(Tactics!$J$5:$J$52,MATCH(D39,Tactics!$B$5:$B$52,0))*0.3+INDEX(Tactics!$H$5:$H$52,MATCH(D39,Tactics!$B$5:$B$52,0))*1.5,1)</f>
        <v>78.7</v>
      </c>
      <c r="G39" s="88" t="n">
        <f aca="false">ROUND((INDEX(Form_L20!$R$5:$R$52,MATCH(E39,Form_L20!$B$5:$B$52,0))*40+MIN(2,MAX(-2.5,INDEX(Form_L20!$M$5:$M$52,MATCH(E39,Form_L20!$B$5:$B$52,0))-INDEX(Form_L20!$N$5:$N$52,MATCH(E39,Form_L20!$B$5:$B$52,0))))*8+MIN(1.3,MAX(-0.7,1.3-INDEX(Form_L20!$N$5:$N$52,MATCH(E39,Form_L20!$B$5:$B$52,0))))*6)*INDEX(Form_L20!$Q$5:$Q$52,MATCH(E39,Form_L20!$B$5:$B$52,0))+INDEX(Tactics!$J$5:$J$52,MATCH(E39,Tactics!$B$5:$B$52,0))*0.3+INDEX(Tactics!$H$5:$H$52,MATCH(E39,Tactics!$B$5:$B$52,0))*1.5,1)</f>
        <v>81.6</v>
      </c>
      <c r="H39" s="89" t="n">
        <f aca="false">F39-G39</f>
        <v>-2.89999999999999</v>
      </c>
      <c r="I39" s="42" t="n">
        <f aca="false">ROUND((1/(1+10^(-H39/15)))*(1-J39),3)</f>
        <v>0.195</v>
      </c>
      <c r="J39" s="42" t="n">
        <f aca="false">ROUND(MAX(0.19,0.56-ABS(H39)/48),3)</f>
        <v>0.5</v>
      </c>
      <c r="K39" s="42" t="n">
        <f aca="false">ROUND(1-I39-J39,3)</f>
        <v>0.305</v>
      </c>
      <c r="L39" s="90" t="str">
        <f aca="false">IF(AND(J39&gt;=I39,J39&gt;=K39),MAX(0,ROUND((AC39+AD39)/2,0))&amp;" - "&amp;MAX(0,ROUND((AC39+AD39)/2,0)),IF(I39&gt;=K39,MAX(ROUND(AC39+0.35,0),MAX(0,ROUND(AD39-0.15,0))+1)&amp;" - "&amp;MAX(0,ROUND(AD39-0.15,0)),MAX(0,ROUND(AC39-0.15,0))&amp;" - "&amp;MAX(ROUND(AD39+0.35,0),MAX(0,ROUND(AC39-0.15,0))+1)))</f>
        <v>2 - 2</v>
      </c>
      <c r="M39" s="60" t="str">
        <f aca="false">IF(AND(J39&gt;=I39,J39&gt;=K39),"Draw",IF(I39&gt;=K39,D39&amp;" win",E39&amp;" win"))</f>
        <v>Draw</v>
      </c>
      <c r="N39" s="42" t="n">
        <f aca="false">MAX(I39,J39,K39)</f>
        <v>0.5</v>
      </c>
      <c r="O39" s="41"/>
      <c r="P39" s="45"/>
      <c r="Q39" s="91"/>
      <c r="R39" s="91"/>
      <c r="S39" s="92" t="str">
        <f aca="false">IF(OR(Q39="",R39=""),"",IF(Q39&gt;R39,D39&amp;" win",IF(R39&gt;Q39,E39&amp;" win","Draw")))</f>
        <v/>
      </c>
      <c r="T39" s="92" t="str">
        <f aca="false">IF(U39="","",CHOOSE(MATCH(U39,{0,5,7,8,9,15},0),"Errou","Apenas Vencedor","Vencedor+Gols","Empate","Vencedor+Saldo","CRAVADA"))</f>
        <v/>
      </c>
      <c r="U39" s="93" t="str">
        <f aca="false">IF(OR(Q39="",R39=""),"",IF(AND(AA39=Q39,AB39=R39),15,IF(AND(AA39=AB39,Q39=R39),8,IF(AND(AA39&gt;AB39,Q39&gt;R39),IF((AA39-AB39)=(Q39-R39),9,IF(AA39=Q39,7,5)),IF(AND(AA39&lt;AB39,Q39&lt;R39),IF((AB39-AA39)=(R39-Q39),9,IF(AB39=R39,7,5)),0)))))</f>
        <v/>
      </c>
      <c r="AA39" s="1" t="n">
        <f aca="false">IFERROR(VALUE(LEFT(L39,FIND(" - ",L39)-1)),"")</f>
        <v>2</v>
      </c>
      <c r="AB39" s="1" t="n">
        <f aca="false">IFERROR(VALUE(MID(L39,FIND(" - ",L39)+3,10)),"")</f>
        <v>2</v>
      </c>
      <c r="AC39" s="1" t="n">
        <f aca="false">INDEX(Form_L20!$M$5:$M$52,MATCH(D39,Form_L20!$B$5:$B$52,0))*0.6+INDEX(Form_L20!$N$5:$N$52,MATCH(E39,Form_L20!$B$5:$B$52,0))*0.4</f>
        <v>1.2</v>
      </c>
      <c r="AD39" s="1" t="n">
        <f aca="false">INDEX(Form_L20!$M$5:$M$52,MATCH(E39,Form_L20!$B$5:$B$52,0))*0.6+INDEX(Form_L20!$N$5:$N$52,MATCH(D39,Form_L20!$B$5:$B$52,0))*0.4</f>
        <v>1.84</v>
      </c>
    </row>
    <row r="40" customFormat="false" ht="15" hidden="false" customHeight="true" outlineLevel="0" collapsed="false">
      <c r="A40" s="85" t="n">
        <v>35</v>
      </c>
      <c r="B40" s="85" t="s">
        <v>94</v>
      </c>
      <c r="C40" s="86" t="n">
        <v>46193</v>
      </c>
      <c r="D40" s="87" t="s">
        <v>96</v>
      </c>
      <c r="E40" s="87" t="s">
        <v>99</v>
      </c>
      <c r="F40" s="88" t="n">
        <f aca="false">ROUND((INDEX(Form_L20!$R$5:$R$52,MATCH(D40,Form_L20!$B$5:$B$52,0))*40+MIN(2,MAX(-2.5,INDEX(Form_L20!$M$5:$M$52,MATCH(D40,Form_L20!$B$5:$B$52,0))-INDEX(Form_L20!$N$5:$N$52,MATCH(D40,Form_L20!$B$5:$B$52,0))))*8+MIN(1.3,MAX(-0.7,1.3-INDEX(Form_L20!$N$5:$N$52,MATCH(D40,Form_L20!$B$5:$B$52,0))))*6)*INDEX(Form_L20!$Q$5:$Q$52,MATCH(D40,Form_L20!$B$5:$B$52,0))+INDEX(Tactics!$J$5:$J$52,MATCH(D40,Tactics!$B$5:$B$52,0))*0.3+INDEX(Tactics!$H$5:$H$52,MATCH(D40,Tactics!$B$5:$B$52,0))*1.5,1)</f>
        <v>72.4</v>
      </c>
      <c r="G40" s="88" t="n">
        <f aca="false">ROUND((INDEX(Form_L20!$R$5:$R$52,MATCH(E40,Form_L20!$B$5:$B$52,0))*40+MIN(2,MAX(-2.5,INDEX(Form_L20!$M$5:$M$52,MATCH(E40,Form_L20!$B$5:$B$52,0))-INDEX(Form_L20!$N$5:$N$52,MATCH(E40,Form_L20!$B$5:$B$52,0))))*8+MIN(1.3,MAX(-0.7,1.3-INDEX(Form_L20!$N$5:$N$52,MATCH(E40,Form_L20!$B$5:$B$52,0))))*6)*INDEX(Form_L20!$Q$5:$Q$52,MATCH(E40,Form_L20!$B$5:$B$52,0))+INDEX(Tactics!$J$5:$J$52,MATCH(E40,Tactics!$B$5:$B$52,0))*0.3+INDEX(Tactics!$H$5:$H$52,MATCH(E40,Tactics!$B$5:$B$52,0))*1.5,1)</f>
        <v>63.8</v>
      </c>
      <c r="H40" s="89" t="n">
        <f aca="false">F40-G40</f>
        <v>8.60000000000001</v>
      </c>
      <c r="I40" s="42" t="n">
        <f aca="false">ROUND((1/(1+10^(-H40/15)))*(1-J40),3)</f>
        <v>0.489</v>
      </c>
      <c r="J40" s="42" t="n">
        <f aca="false">ROUND(MAX(0.19,0.56-ABS(H40)/48),3)</f>
        <v>0.381</v>
      </c>
      <c r="K40" s="42" t="n">
        <f aca="false">ROUND(1-I40-J40,3)</f>
        <v>0.13</v>
      </c>
      <c r="L40" s="90" t="str">
        <f aca="false">IF(AND(J40&gt;=I40,J40&gt;=K40),MAX(0,ROUND((AC40+AD40)/2,0))&amp;" - "&amp;MAX(0,ROUND((AC40+AD40)/2,0)),IF(I40&gt;=K40,MAX(ROUND(AC40+0.35,0),MAX(0,ROUND(AD40-0.15,0))+1)&amp;" - "&amp;MAX(0,ROUND(AD40-0.15,0)),MAX(0,ROUND(AC40-0.15,0))&amp;" - "&amp;MAX(ROUND(AD40+0.35,0),MAX(0,ROUND(AC40-0.15,0))+1)))</f>
        <v>2 - 1</v>
      </c>
      <c r="M40" s="60" t="str">
        <f aca="false">IF(AND(J40&gt;=I40,J40&gt;=K40),"Draw",IF(I40&gt;=K40,D40&amp;" win",E40&amp;" win"))</f>
        <v>Ecuador win</v>
      </c>
      <c r="N40" s="42" t="n">
        <f aca="false">MAX(I40,J40,K40)</f>
        <v>0.489</v>
      </c>
      <c r="O40" s="41"/>
      <c r="P40" s="45"/>
      <c r="Q40" s="91"/>
      <c r="R40" s="91"/>
      <c r="S40" s="92" t="str">
        <f aca="false">IF(OR(Q40="",R40=""),"",IF(Q40&gt;R40,D40&amp;" win",IF(R40&gt;Q40,E40&amp;" win","Draw")))</f>
        <v/>
      </c>
      <c r="T40" s="92" t="str">
        <f aca="false">IF(U40="","",CHOOSE(MATCH(U40,{0,5,7,8,9,15},0),"Errou","Apenas Vencedor","Vencedor+Gols","Empate","Vencedor+Saldo","CRAVADA"))</f>
        <v/>
      </c>
      <c r="U40" s="93" t="str">
        <f aca="false">IF(OR(Q40="",R40=""),"",IF(AND(AA40=Q40,AB40=R40),15,IF(AND(AA40=AB40,Q40=R40),8,IF(AND(AA40&gt;AB40,Q40&gt;R40),IF((AA40-AB40)=(Q40-R40),9,IF(AA40=Q40,7,5)),IF(AND(AA40&lt;AB40,Q40&lt;R40),IF((AB40-AA40)=(R40-Q40),9,IF(AB40=R40,7,5)),0)))))</f>
        <v/>
      </c>
      <c r="AA40" s="1" t="n">
        <f aca="false">IFERROR(VALUE(LEFT(L40,FIND(" - ",L40)-1)),"")</f>
        <v>2</v>
      </c>
      <c r="AB40" s="1" t="n">
        <f aca="false">IFERROR(VALUE(MID(L40,FIND(" - ",L40)+3,10)),"")</f>
        <v>1</v>
      </c>
      <c r="AC40" s="1" t="n">
        <f aca="false">INDEX(Form_L20!$M$5:$M$52,MATCH(D40,Form_L20!$B$5:$B$52,0))*0.6+INDEX(Form_L20!$N$5:$N$52,MATCH(E40,Form_L20!$B$5:$B$52,0))*0.4</f>
        <v>0.666666666666667</v>
      </c>
      <c r="AD40" s="1" t="n">
        <f aca="false">INDEX(Form_L20!$M$5:$M$52,MATCH(E40,Form_L20!$B$5:$B$52,0))*0.6+INDEX(Form_L20!$N$5:$N$52,MATCH(D40,Form_L20!$B$5:$B$52,0))*0.4</f>
        <v>1.41111111111111</v>
      </c>
    </row>
    <row r="41" customFormat="false" ht="15" hidden="false" customHeight="true" outlineLevel="0" collapsed="false">
      <c r="A41" s="85" t="n">
        <v>36</v>
      </c>
      <c r="B41" s="85" t="s">
        <v>102</v>
      </c>
      <c r="C41" s="86" t="n">
        <v>46193</v>
      </c>
      <c r="D41" s="87" t="s">
        <v>106</v>
      </c>
      <c r="E41" s="87" t="s">
        <v>104</v>
      </c>
      <c r="F41" s="88" t="n">
        <f aca="false">ROUND((INDEX(Form_L20!$R$5:$R$52,MATCH(D41,Form_L20!$B$5:$B$52,0))*40+MIN(2,MAX(-2.5,INDEX(Form_L20!$M$5:$M$52,MATCH(D41,Form_L20!$B$5:$B$52,0))-INDEX(Form_L20!$N$5:$N$52,MATCH(D41,Form_L20!$B$5:$B$52,0))))*8+MIN(1.3,MAX(-0.7,1.3-INDEX(Form_L20!$N$5:$N$52,MATCH(D41,Form_L20!$B$5:$B$52,0))))*6)*INDEX(Form_L20!$Q$5:$Q$52,MATCH(D41,Form_L20!$B$5:$B$52,0))+INDEX(Tactics!$J$5:$J$52,MATCH(D41,Tactics!$B$5:$B$52,0))*0.3+INDEX(Tactics!$H$5:$H$52,MATCH(D41,Tactics!$B$5:$B$52,0))*1.5,1)</f>
        <v>76.1</v>
      </c>
      <c r="G41" s="88" t="n">
        <f aca="false">ROUND((INDEX(Form_L20!$R$5:$R$52,MATCH(E41,Form_L20!$B$5:$B$52,0))*40+MIN(2,MAX(-2.5,INDEX(Form_L20!$M$5:$M$52,MATCH(E41,Form_L20!$B$5:$B$52,0))-INDEX(Form_L20!$N$5:$N$52,MATCH(E41,Form_L20!$B$5:$B$52,0))))*8+MIN(1.3,MAX(-0.7,1.3-INDEX(Form_L20!$N$5:$N$52,MATCH(E41,Form_L20!$B$5:$B$52,0))))*6)*INDEX(Form_L20!$Q$5:$Q$52,MATCH(E41,Form_L20!$B$5:$B$52,0))+INDEX(Tactics!$J$5:$J$52,MATCH(E41,Tactics!$B$5:$B$52,0))*0.3+INDEX(Tactics!$H$5:$H$52,MATCH(E41,Tactics!$B$5:$B$52,0))*1.5,1)</f>
        <v>76.5</v>
      </c>
      <c r="H41" s="89" t="n">
        <f aca="false">F41-G41</f>
        <v>-0.400000000000006</v>
      </c>
      <c r="I41" s="42" t="n">
        <f aca="false">ROUND((1/(1+10^(-H41/15)))*(1-J41),3)</f>
        <v>0.217</v>
      </c>
      <c r="J41" s="42" t="n">
        <f aca="false">ROUND(MAX(0.19,0.56-ABS(H41)/48),3)</f>
        <v>0.552</v>
      </c>
      <c r="K41" s="42" t="n">
        <f aca="false">ROUND(1-I41-J41,3)</f>
        <v>0.231</v>
      </c>
      <c r="L41" s="90" t="str">
        <f aca="false">IF(AND(J41&gt;=I41,J41&gt;=K41),MAX(0,ROUND((AC41+AD41)/2,0))&amp;" - "&amp;MAX(0,ROUND((AC41+AD41)/2,0)),IF(I41&gt;=K41,MAX(ROUND(AC41+0.35,0),MAX(0,ROUND(AD41-0.15,0))+1)&amp;" - "&amp;MAX(0,ROUND(AD41-0.15,0)),MAX(0,ROUND(AC41-0.15,0))&amp;" - "&amp;MAX(ROUND(AD41+0.35,0),MAX(0,ROUND(AC41-0.15,0))+1)))</f>
        <v>2 - 2</v>
      </c>
      <c r="M41" s="60" t="str">
        <f aca="false">IF(AND(J41&gt;=I41,J41&gt;=K41),"Draw",IF(I41&gt;=K41,D41&amp;" win",E41&amp;" win"))</f>
        <v>Draw</v>
      </c>
      <c r="N41" s="42" t="n">
        <f aca="false">MAX(I41,J41,K41)</f>
        <v>0.552</v>
      </c>
      <c r="O41" s="41"/>
      <c r="P41" s="45"/>
      <c r="Q41" s="91"/>
      <c r="R41" s="91"/>
      <c r="S41" s="92" t="str">
        <f aca="false">IF(OR(Q41="",R41=""),"",IF(Q41&gt;R41,D41&amp;" win",IF(R41&gt;Q41,E41&amp;" win","Draw")))</f>
        <v/>
      </c>
      <c r="T41" s="92" t="str">
        <f aca="false">IF(U41="","",CHOOSE(MATCH(U41,{0,5,7,8,9,15},0),"Errou","Apenas Vencedor","Vencedor+Gols","Empate","Vencedor+Saldo","CRAVADA"))</f>
        <v/>
      </c>
      <c r="U41" s="93" t="str">
        <f aca="false">IF(OR(Q41="",R41=""),"",IF(AND(AA41=Q41,AB41=R41),15,IF(AND(AA41=AB41,Q41=R41),8,IF(AND(AA41&gt;AB41,Q41&gt;R41),IF((AA41-AB41)=(Q41-R41),9,IF(AA41=Q41,7,5)),IF(AND(AA41&lt;AB41,Q41&lt;R41),IF((AB41-AA41)=(R41-Q41),9,IF(AB41=R41,7,5)),0)))))</f>
        <v/>
      </c>
      <c r="AA41" s="1" t="n">
        <f aca="false">IFERROR(VALUE(LEFT(L41,FIND(" - ",L41)-1)),"")</f>
        <v>2</v>
      </c>
      <c r="AB41" s="1" t="n">
        <f aca="false">IFERROR(VALUE(MID(L41,FIND(" - ",L41)+3,10)),"")</f>
        <v>2</v>
      </c>
      <c r="AC41" s="1" t="n">
        <f aca="false">INDEX(Form_L20!$M$5:$M$52,MATCH(D41,Form_L20!$B$5:$B$52,0))*0.6+INDEX(Form_L20!$N$5:$N$52,MATCH(E41,Form_L20!$B$5:$B$52,0))*0.4</f>
        <v>1.57</v>
      </c>
      <c r="AD41" s="1" t="n">
        <f aca="false">INDEX(Form_L20!$M$5:$M$52,MATCH(E41,Form_L20!$B$5:$B$52,0))*0.6+INDEX(Form_L20!$N$5:$N$52,MATCH(D41,Form_L20!$B$5:$B$52,0))*0.4</f>
        <v>1.5375</v>
      </c>
    </row>
    <row r="42" customFormat="false" ht="15" hidden="false" customHeight="true" outlineLevel="0" collapsed="false">
      <c r="A42" s="85" t="n">
        <v>37</v>
      </c>
      <c r="B42" s="85" t="s">
        <v>118</v>
      </c>
      <c r="C42" s="86" t="n">
        <v>46194</v>
      </c>
      <c r="D42" s="87" t="s">
        <v>117</v>
      </c>
      <c r="E42" s="87" t="s">
        <v>122</v>
      </c>
      <c r="F42" s="88" t="n">
        <f aca="false">ROUND((INDEX(Form_L20!$R$5:$R$52,MATCH(D42,Form_L20!$B$5:$B$52,0))*40+MIN(2,MAX(-2.5,INDEX(Form_L20!$M$5:$M$52,MATCH(D42,Form_L20!$B$5:$B$52,0))-INDEX(Form_L20!$N$5:$N$52,MATCH(D42,Form_L20!$B$5:$B$52,0))))*8+MIN(1.3,MAX(-0.7,1.3-INDEX(Form_L20!$N$5:$N$52,MATCH(D42,Form_L20!$B$5:$B$52,0))))*6)*INDEX(Form_L20!$Q$5:$Q$52,MATCH(D42,Form_L20!$B$5:$B$52,0))+INDEX(Tactics!$J$5:$J$52,MATCH(D42,Tactics!$B$5:$B$52,0))*0.3+INDEX(Tactics!$H$5:$H$52,MATCH(D42,Tactics!$B$5:$B$52,0))*1.5,1)</f>
        <v>90</v>
      </c>
      <c r="G42" s="88" t="n">
        <f aca="false">ROUND((INDEX(Form_L20!$R$5:$R$52,MATCH(E42,Form_L20!$B$5:$B$52,0))*40+MIN(2,MAX(-2.5,INDEX(Form_L20!$M$5:$M$52,MATCH(E42,Form_L20!$B$5:$B$52,0))-INDEX(Form_L20!$N$5:$N$52,MATCH(E42,Form_L20!$B$5:$B$52,0))))*8+MIN(1.3,MAX(-0.7,1.3-INDEX(Form_L20!$N$5:$N$52,MATCH(E42,Form_L20!$B$5:$B$52,0))))*6)*INDEX(Form_L20!$Q$5:$Q$52,MATCH(E42,Form_L20!$B$5:$B$52,0))+INDEX(Tactics!$J$5:$J$52,MATCH(E42,Tactics!$B$5:$B$52,0))*0.3+INDEX(Tactics!$H$5:$H$52,MATCH(E42,Tactics!$B$5:$B$52,0))*1.5,1)</f>
        <v>46.5</v>
      </c>
      <c r="H42" s="89" t="n">
        <f aca="false">F42-G42</f>
        <v>43.5</v>
      </c>
      <c r="I42" s="42" t="n">
        <f aca="false">ROUND((1/(1+10^(-H42/15)))*(1-J42),3)</f>
        <v>0.809</v>
      </c>
      <c r="J42" s="42" t="n">
        <f aca="false">ROUND(MAX(0.19,0.56-ABS(H42)/48),3)</f>
        <v>0.19</v>
      </c>
      <c r="K42" s="42" t="n">
        <f aca="false">ROUND(1-I42-J42,3)</f>
        <v>0.001</v>
      </c>
      <c r="L42" s="90" t="str">
        <f aca="false">IF(AND(J42&gt;=I42,J42&gt;=K42),MAX(0,ROUND((AC42+AD42)/2,0))&amp;" - "&amp;MAX(0,ROUND((AC42+AD42)/2,0)),IF(I42&gt;=K42,MAX(ROUND(AC42+0.35,0),MAX(0,ROUND(AD42-0.15,0))+1)&amp;" - "&amp;MAX(0,ROUND(AD42-0.15,0)),MAX(0,ROUND(AC42-0.15,0))&amp;" - "&amp;MAX(ROUND(AD42+0.35,0),MAX(0,ROUND(AC42-0.15,0))+1)))</f>
        <v>2 - 1</v>
      </c>
      <c r="M42" s="60" t="str">
        <f aca="false">IF(AND(J42&gt;=I42,J42&gt;=K42),"Draw",IF(I42&gt;=K42,D42&amp;" win",E42&amp;" win"))</f>
        <v>Spain win</v>
      </c>
      <c r="N42" s="42" t="n">
        <f aca="false">MAX(I42,J42,K42)</f>
        <v>0.809</v>
      </c>
      <c r="O42" s="41"/>
      <c r="P42" s="45"/>
      <c r="Q42" s="91"/>
      <c r="R42" s="91"/>
      <c r="S42" s="92" t="str">
        <f aca="false">IF(OR(Q42="",R42=""),"",IF(Q42&gt;R42,D42&amp;" win",IF(R42&gt;Q42,E42&amp;" win","Draw")))</f>
        <v/>
      </c>
      <c r="T42" s="92" t="str">
        <f aca="false">IF(U42="","",CHOOSE(MATCH(U42,{0,5,7,8,9,15},0),"Errou","Apenas Vencedor","Vencedor+Gols","Empate","Vencedor+Saldo","CRAVADA"))</f>
        <v/>
      </c>
      <c r="U42" s="93" t="str">
        <f aca="false">IF(OR(Q42="",R42=""),"",IF(AND(AA42=Q42,AB42=R42),15,IF(AND(AA42=AB42,Q42=R42),8,IF(AND(AA42&gt;AB42,Q42&gt;R42),IF((AA42-AB42)=(Q42-R42),9,IF(AA42=Q42,7,5)),IF(AND(AA42&lt;AB42,Q42&lt;R42),IF((AB42-AA42)=(R42-Q42),9,IF(AB42=R42,7,5)),0)))))</f>
        <v/>
      </c>
      <c r="AA42" s="1" t="n">
        <f aca="false">IFERROR(VALUE(LEFT(L42,FIND(" - ",L42)-1)),"")</f>
        <v>2</v>
      </c>
      <c r="AB42" s="1" t="n">
        <f aca="false">IFERROR(VALUE(MID(L42,FIND(" - ",L42)+3,10)),"")</f>
        <v>1</v>
      </c>
      <c r="AC42" s="1" t="n">
        <f aca="false">INDEX(Form_L20!$M$5:$M$52,MATCH(D42,Form_L20!$B$5:$B$52,0))*0.6+INDEX(Form_L20!$N$5:$N$52,MATCH(E42,Form_L20!$B$5:$B$52,0))*0.4</f>
        <v>1.80666666666667</v>
      </c>
      <c r="AD42" s="1" t="n">
        <f aca="false">INDEX(Form_L20!$M$5:$M$52,MATCH(E42,Form_L20!$B$5:$B$52,0))*0.6+INDEX(Form_L20!$N$5:$N$52,MATCH(D42,Form_L20!$B$5:$B$52,0))*0.4</f>
        <v>0.79</v>
      </c>
    </row>
    <row r="43" customFormat="false" ht="15" hidden="false" customHeight="true" outlineLevel="0" collapsed="false">
      <c r="A43" s="85" t="n">
        <v>38</v>
      </c>
      <c r="B43" s="85" t="s">
        <v>110</v>
      </c>
      <c r="C43" s="86" t="n">
        <v>46194</v>
      </c>
      <c r="D43" s="87" t="s">
        <v>109</v>
      </c>
      <c r="E43" s="87" t="s">
        <v>112</v>
      </c>
      <c r="F43" s="88" t="n">
        <f aca="false">ROUND((INDEX(Form_L20!$R$5:$R$52,MATCH(D43,Form_L20!$B$5:$B$52,0))*40+MIN(2,MAX(-2.5,INDEX(Form_L20!$M$5:$M$52,MATCH(D43,Form_L20!$B$5:$B$52,0))-INDEX(Form_L20!$N$5:$N$52,MATCH(D43,Form_L20!$B$5:$B$52,0))))*8+MIN(1.3,MAX(-0.7,1.3-INDEX(Form_L20!$N$5:$N$52,MATCH(D43,Form_L20!$B$5:$B$52,0))))*6)*INDEX(Form_L20!$Q$5:$Q$52,MATCH(D43,Form_L20!$B$5:$B$52,0))+INDEX(Tactics!$J$5:$J$52,MATCH(D43,Tactics!$B$5:$B$52,0))*0.3+INDEX(Tactics!$H$5:$H$52,MATCH(D43,Tactics!$B$5:$B$52,0))*1.5,1)</f>
        <v>71.7</v>
      </c>
      <c r="G43" s="88" t="n">
        <f aca="false">ROUND((INDEX(Form_L20!$R$5:$R$52,MATCH(E43,Form_L20!$B$5:$B$52,0))*40+MIN(2,MAX(-2.5,INDEX(Form_L20!$M$5:$M$52,MATCH(E43,Form_L20!$B$5:$B$52,0))-INDEX(Form_L20!$N$5:$N$52,MATCH(E43,Form_L20!$B$5:$B$52,0))))*8+MIN(1.3,MAX(-0.7,1.3-INDEX(Form_L20!$N$5:$N$52,MATCH(E43,Form_L20!$B$5:$B$52,0))))*6)*INDEX(Form_L20!$Q$5:$Q$52,MATCH(E43,Form_L20!$B$5:$B$52,0))+INDEX(Tactics!$J$5:$J$52,MATCH(E43,Tactics!$B$5:$B$52,0))*0.3+INDEX(Tactics!$H$5:$H$52,MATCH(E43,Tactics!$B$5:$B$52,0))*1.5,1)</f>
        <v>67.9</v>
      </c>
      <c r="H43" s="89" t="n">
        <f aca="false">F43-G43</f>
        <v>3.8</v>
      </c>
      <c r="I43" s="42" t="n">
        <f aca="false">ROUND((1/(1+10^(-H43/15)))*(1-J43),3)</f>
        <v>0.333</v>
      </c>
      <c r="J43" s="42" t="n">
        <f aca="false">ROUND(MAX(0.19,0.56-ABS(H43)/48),3)</f>
        <v>0.481</v>
      </c>
      <c r="K43" s="42" t="n">
        <f aca="false">ROUND(1-I43-J43,3)</f>
        <v>0.186</v>
      </c>
      <c r="L43" s="90" t="str">
        <f aca="false">IF(AND(J43&gt;=I43,J43&gt;=K43),MAX(0,ROUND((AC43+AD43)/2,0))&amp;" - "&amp;MAX(0,ROUND((AC43+AD43)/2,0)),IF(I43&gt;=K43,MAX(ROUND(AC43+0.35,0),MAX(0,ROUND(AD43-0.15,0))+1)&amp;" - "&amp;MAX(0,ROUND(AD43-0.15,0)),MAX(0,ROUND(AC43-0.15,0))&amp;" - "&amp;MAX(ROUND(AD43+0.35,0),MAX(0,ROUND(AC43-0.15,0))+1)))</f>
        <v>1 - 1</v>
      </c>
      <c r="M43" s="60" t="str">
        <f aca="false">IF(AND(J43&gt;=I43,J43&gt;=K43),"Draw",IF(I43&gt;=K43,D43&amp;" win",E43&amp;" win"))</f>
        <v>Draw</v>
      </c>
      <c r="N43" s="42" t="n">
        <f aca="false">MAX(I43,J43,K43)</f>
        <v>0.481</v>
      </c>
      <c r="O43" s="41"/>
      <c r="P43" s="45"/>
      <c r="Q43" s="91"/>
      <c r="R43" s="91"/>
      <c r="S43" s="92" t="str">
        <f aca="false">IF(OR(Q43="",R43=""),"",IF(Q43&gt;R43,D43&amp;" win",IF(R43&gt;Q43,E43&amp;" win","Draw")))</f>
        <v/>
      </c>
      <c r="T43" s="92" t="str">
        <f aca="false">IF(U43="","",CHOOSE(MATCH(U43,{0,5,7,8,9,15},0),"Errou","Apenas Vencedor","Vencedor+Gols","Empate","Vencedor+Saldo","CRAVADA"))</f>
        <v/>
      </c>
      <c r="U43" s="93" t="str">
        <f aca="false">IF(OR(Q43="",R43=""),"",IF(AND(AA43=Q43,AB43=R43),15,IF(AND(AA43=AB43,Q43=R43),8,IF(AND(AA43&gt;AB43,Q43&gt;R43),IF((AA43-AB43)=(Q43-R43),9,IF(AA43=Q43,7,5)),IF(AND(AA43&lt;AB43,Q43&lt;R43),IF((AB43-AA43)=(R43-Q43),9,IF(AB43=R43,7,5)),0)))))</f>
        <v/>
      </c>
      <c r="AA43" s="1" t="n">
        <f aca="false">IFERROR(VALUE(LEFT(L43,FIND(" - ",L43)-1)),"")</f>
        <v>1</v>
      </c>
      <c r="AB43" s="1" t="n">
        <f aca="false">IFERROR(VALUE(MID(L43,FIND(" - ",L43)+3,10)),"")</f>
        <v>1</v>
      </c>
      <c r="AC43" s="1" t="n">
        <f aca="false">INDEX(Form_L20!$M$5:$M$52,MATCH(D43,Form_L20!$B$5:$B$52,0))*0.6+INDEX(Form_L20!$N$5:$N$52,MATCH(E43,Form_L20!$B$5:$B$52,0))*0.4</f>
        <v>1.45</v>
      </c>
      <c r="AD43" s="1" t="n">
        <f aca="false">INDEX(Form_L20!$M$5:$M$52,MATCH(E43,Form_L20!$B$5:$B$52,0))*0.6+INDEX(Form_L20!$N$5:$N$52,MATCH(D43,Form_L20!$B$5:$B$52,0))*0.4</f>
        <v>1.44</v>
      </c>
    </row>
    <row r="44" customFormat="false" ht="15" hidden="false" customHeight="true" outlineLevel="0" collapsed="false">
      <c r="A44" s="85" t="n">
        <v>39</v>
      </c>
      <c r="B44" s="85" t="s">
        <v>118</v>
      </c>
      <c r="C44" s="86" t="n">
        <v>46194</v>
      </c>
      <c r="D44" s="87" t="s">
        <v>120</v>
      </c>
      <c r="E44" s="87" t="s">
        <v>124</v>
      </c>
      <c r="F44" s="88" t="n">
        <f aca="false">ROUND((INDEX(Form_L20!$R$5:$R$52,MATCH(D44,Form_L20!$B$5:$B$52,0))*40+MIN(2,MAX(-2.5,INDEX(Form_L20!$M$5:$M$52,MATCH(D44,Form_L20!$B$5:$B$52,0))-INDEX(Form_L20!$N$5:$N$52,MATCH(D44,Form_L20!$B$5:$B$52,0))))*8+MIN(1.3,MAX(-0.7,1.3-INDEX(Form_L20!$N$5:$N$52,MATCH(D44,Form_L20!$B$5:$B$52,0))))*6)*INDEX(Form_L20!$Q$5:$Q$52,MATCH(D44,Form_L20!$B$5:$B$52,0))+INDEX(Tactics!$J$5:$J$52,MATCH(D44,Tactics!$B$5:$B$52,0))*0.3+INDEX(Tactics!$H$5:$H$52,MATCH(D44,Tactics!$B$5:$B$52,0))*1.5,1)</f>
        <v>67.6</v>
      </c>
      <c r="G44" s="88" t="n">
        <f aca="false">ROUND((INDEX(Form_L20!$R$5:$R$52,MATCH(E44,Form_L20!$B$5:$B$52,0))*40+MIN(2,MAX(-2.5,INDEX(Form_L20!$M$5:$M$52,MATCH(E44,Form_L20!$B$5:$B$52,0))-INDEX(Form_L20!$N$5:$N$52,MATCH(E44,Form_L20!$B$5:$B$52,0))))*8+MIN(1.3,MAX(-0.7,1.3-INDEX(Form_L20!$N$5:$N$52,MATCH(E44,Form_L20!$B$5:$B$52,0))))*6)*INDEX(Form_L20!$Q$5:$Q$52,MATCH(E44,Form_L20!$B$5:$B$52,0))+INDEX(Tactics!$J$5:$J$52,MATCH(E44,Tactics!$B$5:$B$52,0))*0.3+INDEX(Tactics!$H$5:$H$52,MATCH(E44,Tactics!$B$5:$B$52,0))*1.5,1)</f>
        <v>60.6</v>
      </c>
      <c r="H44" s="89" t="n">
        <f aca="false">F44-G44</f>
        <v>6.99999999999999</v>
      </c>
      <c r="I44" s="42" t="n">
        <f aca="false">ROUND((1/(1+10^(-H44/15)))*(1-J44),3)</f>
        <v>0.437</v>
      </c>
      <c r="J44" s="42" t="n">
        <f aca="false">ROUND(MAX(0.19,0.56-ABS(H44)/48),3)</f>
        <v>0.414</v>
      </c>
      <c r="K44" s="42" t="n">
        <f aca="false">ROUND(1-I44-J44,3)</f>
        <v>0.149</v>
      </c>
      <c r="L44" s="90" t="str">
        <f aca="false">IF(AND(J44&gt;=I44,J44&gt;=K44),MAX(0,ROUND((AC44+AD44)/2,0))&amp;" - "&amp;MAX(0,ROUND((AC44+AD44)/2,0)),IF(I44&gt;=K44,MAX(ROUND(AC44+0.35,0),MAX(0,ROUND(AD44-0.15,0))+1)&amp;" - "&amp;MAX(0,ROUND(AD44-0.15,0)),MAX(0,ROUND(AC44-0.15,0))&amp;" - "&amp;MAX(ROUND(AD44+0.35,0),MAX(0,ROUND(AC44-0.15,0))+1)))</f>
        <v>2 - 1</v>
      </c>
      <c r="M44" s="60" t="str">
        <f aca="false">IF(AND(J44&gt;=I44,J44&gt;=K44),"Draw",IF(I44&gt;=K44,D44&amp;" win",E44&amp;" win"))</f>
        <v>Uruguay win</v>
      </c>
      <c r="N44" s="42" t="n">
        <f aca="false">MAX(I44,J44,K44)</f>
        <v>0.437</v>
      </c>
      <c r="O44" s="41"/>
      <c r="P44" s="45"/>
      <c r="Q44" s="91"/>
      <c r="R44" s="91"/>
      <c r="S44" s="92" t="str">
        <f aca="false">IF(OR(Q44="",R44=""),"",IF(Q44&gt;R44,D44&amp;" win",IF(R44&gt;Q44,E44&amp;" win","Draw")))</f>
        <v/>
      </c>
      <c r="T44" s="92" t="str">
        <f aca="false">IF(U44="","",CHOOSE(MATCH(U44,{0,5,7,8,9,15},0),"Errou","Apenas Vencedor","Vencedor+Gols","Empate","Vencedor+Saldo","CRAVADA"))</f>
        <v/>
      </c>
      <c r="U44" s="93" t="str">
        <f aca="false">IF(OR(Q44="",R44=""),"",IF(AND(AA44=Q44,AB44=R44),15,IF(AND(AA44=AB44,Q44=R44),8,IF(AND(AA44&gt;AB44,Q44&gt;R44),IF((AA44-AB44)=(Q44-R44),9,IF(AA44=Q44,7,5)),IF(AND(AA44&lt;AB44,Q44&lt;R44),IF((AB44-AA44)=(R44-Q44),9,IF(AB44=R44,7,5)),0)))))</f>
        <v/>
      </c>
      <c r="AA44" s="1" t="n">
        <f aca="false">IFERROR(VALUE(LEFT(L44,FIND(" - ",L44)-1)),"")</f>
        <v>2</v>
      </c>
      <c r="AB44" s="1" t="n">
        <f aca="false">IFERROR(VALUE(MID(L44,FIND(" - ",L44)+3,10)),"")</f>
        <v>1</v>
      </c>
      <c r="AC44" s="1" t="n">
        <f aca="false">INDEX(Form_L20!$M$5:$M$52,MATCH(D44,Form_L20!$B$5:$B$52,0))*0.6+INDEX(Form_L20!$N$5:$N$52,MATCH(E44,Form_L20!$B$5:$B$52,0))*0.4</f>
        <v>1.145</v>
      </c>
      <c r="AD44" s="1" t="n">
        <f aca="false">INDEX(Form_L20!$M$5:$M$52,MATCH(E44,Form_L20!$B$5:$B$52,0))*0.6+INDEX(Form_L20!$N$5:$N$52,MATCH(D44,Form_L20!$B$5:$B$52,0))*0.4</f>
        <v>1.22666666666667</v>
      </c>
    </row>
    <row r="45" customFormat="false" ht="15" hidden="false" customHeight="true" outlineLevel="0" collapsed="false">
      <c r="A45" s="85" t="n">
        <v>40</v>
      </c>
      <c r="B45" s="85" t="s">
        <v>110</v>
      </c>
      <c r="C45" s="86" t="n">
        <v>46194</v>
      </c>
      <c r="D45" s="87" t="s">
        <v>114</v>
      </c>
      <c r="E45" s="87" t="s">
        <v>113</v>
      </c>
      <c r="F45" s="88" t="n">
        <f aca="false">ROUND((INDEX(Form_L20!$R$5:$R$52,MATCH(D45,Form_L20!$B$5:$B$52,0))*40+MIN(2,MAX(-2.5,INDEX(Form_L20!$M$5:$M$52,MATCH(D45,Form_L20!$B$5:$B$52,0))-INDEX(Form_L20!$N$5:$N$52,MATCH(D45,Form_L20!$B$5:$B$52,0))))*8+MIN(1.3,MAX(-0.7,1.3-INDEX(Form_L20!$N$5:$N$52,MATCH(D45,Form_L20!$B$5:$B$52,0))))*6)*INDEX(Form_L20!$Q$5:$Q$52,MATCH(D45,Form_L20!$B$5:$B$52,0))+INDEX(Tactics!$J$5:$J$52,MATCH(D45,Tactics!$B$5:$B$52,0))*0.3+INDEX(Tactics!$H$5:$H$52,MATCH(D45,Tactics!$B$5:$B$52,0))*1.5,1)</f>
        <v>40.4</v>
      </c>
      <c r="G45" s="88" t="n">
        <f aca="false">ROUND((INDEX(Form_L20!$R$5:$R$52,MATCH(E45,Form_L20!$B$5:$B$52,0))*40+MIN(2,MAX(-2.5,INDEX(Form_L20!$M$5:$M$52,MATCH(E45,Form_L20!$B$5:$B$52,0))-INDEX(Form_L20!$N$5:$N$52,MATCH(E45,Form_L20!$B$5:$B$52,0))))*8+MIN(1.3,MAX(-0.7,1.3-INDEX(Form_L20!$N$5:$N$52,MATCH(E45,Form_L20!$B$5:$B$52,0))))*6)*INDEX(Form_L20!$Q$5:$Q$52,MATCH(E45,Form_L20!$B$5:$B$52,0))+INDEX(Tactics!$J$5:$J$52,MATCH(E45,Tactics!$B$5:$B$52,0))*0.3+INDEX(Tactics!$H$5:$H$52,MATCH(E45,Tactics!$B$5:$B$52,0))*1.5,1)</f>
        <v>82.8</v>
      </c>
      <c r="H45" s="89" t="n">
        <f aca="false">F45-G45</f>
        <v>-42.4</v>
      </c>
      <c r="I45" s="42" t="n">
        <f aca="false">ROUND((1/(1+10^(-H45/15)))*(1-J45),3)</f>
        <v>0.001</v>
      </c>
      <c r="J45" s="42" t="n">
        <f aca="false">ROUND(MAX(0.19,0.56-ABS(H45)/48),3)</f>
        <v>0.19</v>
      </c>
      <c r="K45" s="42" t="n">
        <f aca="false">ROUND(1-I45-J45,3)</f>
        <v>0.809</v>
      </c>
      <c r="L45" s="90" t="str">
        <f aca="false">IF(AND(J45&gt;=I45,J45&gt;=K45),MAX(0,ROUND((AC45+AD45)/2,0))&amp;" - "&amp;MAX(0,ROUND((AC45+AD45)/2,0)),IF(I45&gt;=K45,MAX(ROUND(AC45+0.35,0),MAX(0,ROUND(AD45-0.15,0))+1)&amp;" - "&amp;MAX(0,ROUND(AD45-0.15,0)),MAX(0,ROUND(AC45-0.15,0))&amp;" - "&amp;MAX(ROUND(AD45+0.35,0),MAX(0,ROUND(AC45-0.15,0))+1)))</f>
        <v>1 - 2</v>
      </c>
      <c r="M45" s="60" t="str">
        <f aca="false">IF(AND(J45&gt;=I45,J45&gt;=K45),"Draw",IF(I45&gt;=K45,D45&amp;" win",E45&amp;" win"))</f>
        <v>Egypt win</v>
      </c>
      <c r="N45" s="42" t="n">
        <f aca="false">MAX(I45,J45,K45)</f>
        <v>0.809</v>
      </c>
      <c r="O45" s="41"/>
      <c r="P45" s="45"/>
      <c r="Q45" s="91"/>
      <c r="R45" s="91"/>
      <c r="S45" s="92" t="str">
        <f aca="false">IF(OR(Q45="",R45=""),"",IF(Q45&gt;R45,D45&amp;" win",IF(R45&gt;Q45,E45&amp;" win","Draw")))</f>
        <v/>
      </c>
      <c r="T45" s="92" t="str">
        <f aca="false">IF(U45="","",CHOOSE(MATCH(U45,{0,5,7,8,9,15},0),"Errou","Apenas Vencedor","Vencedor+Gols","Empate","Vencedor+Saldo","CRAVADA"))</f>
        <v/>
      </c>
      <c r="U45" s="93" t="str">
        <f aca="false">IF(OR(Q45="",R45=""),"",IF(AND(AA45=Q45,AB45=R45),15,IF(AND(AA45=AB45,Q45=R45),8,IF(AND(AA45&gt;AB45,Q45&gt;R45),IF((AA45-AB45)=(Q45-R45),9,IF(AA45=Q45,7,5)),IF(AND(AA45&lt;AB45,Q45&lt;R45),IF((AB45-AA45)=(R45-Q45),9,IF(AB45=R45,7,5)),0)))))</f>
        <v/>
      </c>
      <c r="AA45" s="1" t="n">
        <f aca="false">IFERROR(VALUE(LEFT(L45,FIND(" - ",L45)-1)),"")</f>
        <v>1</v>
      </c>
      <c r="AB45" s="1" t="n">
        <f aca="false">IFERROR(VALUE(MID(L45,FIND(" - ",L45)+3,10)),"")</f>
        <v>2</v>
      </c>
      <c r="AC45" s="1" t="n">
        <f aca="false">INDEX(Form_L20!$M$5:$M$52,MATCH(D45,Form_L20!$B$5:$B$52,0))*0.6+INDEX(Form_L20!$N$5:$N$52,MATCH(E45,Form_L20!$B$5:$B$52,0))*0.4</f>
        <v>0.8</v>
      </c>
      <c r="AD45" s="1" t="n">
        <f aca="false">INDEX(Form_L20!$M$5:$M$52,MATCH(E45,Form_L20!$B$5:$B$52,0))*0.6+INDEX(Form_L20!$N$5:$N$52,MATCH(D45,Form_L20!$B$5:$B$52,0))*0.4</f>
        <v>1.84</v>
      </c>
    </row>
    <row r="46" customFormat="false" ht="15" hidden="false" customHeight="true" outlineLevel="0" collapsed="false">
      <c r="A46" s="85" t="n">
        <v>41</v>
      </c>
      <c r="B46" s="85" t="s">
        <v>135</v>
      </c>
      <c r="C46" s="86" t="n">
        <v>46195</v>
      </c>
      <c r="D46" s="87" t="s">
        <v>134</v>
      </c>
      <c r="E46" s="87" t="s">
        <v>137</v>
      </c>
      <c r="F46" s="88" t="n">
        <f aca="false">ROUND((INDEX(Form_L20!$R$5:$R$52,MATCH(D46,Form_L20!$B$5:$B$52,0))*40+MIN(2,MAX(-2.5,INDEX(Form_L20!$M$5:$M$52,MATCH(D46,Form_L20!$B$5:$B$52,0))-INDEX(Form_L20!$N$5:$N$52,MATCH(D46,Form_L20!$B$5:$B$52,0))))*8+MIN(1.3,MAX(-0.7,1.3-INDEX(Form_L20!$N$5:$N$52,MATCH(D46,Form_L20!$B$5:$B$52,0))))*6)*INDEX(Form_L20!$Q$5:$Q$52,MATCH(D46,Form_L20!$B$5:$B$52,0))+INDEX(Tactics!$J$5:$J$52,MATCH(D46,Tactics!$B$5:$B$52,0))*0.3+INDEX(Tactics!$H$5:$H$52,MATCH(D46,Tactics!$B$5:$B$52,0))*1.5,1)</f>
        <v>82.6</v>
      </c>
      <c r="G46" s="88" t="n">
        <f aca="false">ROUND((INDEX(Form_L20!$R$5:$R$52,MATCH(E46,Form_L20!$B$5:$B$52,0))*40+MIN(2,MAX(-2.5,INDEX(Form_L20!$M$5:$M$52,MATCH(E46,Form_L20!$B$5:$B$52,0))-INDEX(Form_L20!$N$5:$N$52,MATCH(E46,Form_L20!$B$5:$B$52,0))))*8+MIN(1.3,MAX(-0.7,1.3-INDEX(Form_L20!$N$5:$N$52,MATCH(E46,Form_L20!$B$5:$B$52,0))))*6)*INDEX(Form_L20!$Q$5:$Q$52,MATCH(E46,Form_L20!$B$5:$B$52,0))+INDEX(Tactics!$J$5:$J$52,MATCH(E46,Tactics!$B$5:$B$52,0))*0.3+INDEX(Tactics!$H$5:$H$52,MATCH(E46,Tactics!$B$5:$B$52,0))*1.5,1)</f>
        <v>89.4</v>
      </c>
      <c r="H46" s="89" t="n">
        <f aca="false">F46-G46</f>
        <v>-6.80000000000001</v>
      </c>
      <c r="I46" s="42" t="n">
        <f aca="false">ROUND((1/(1+10^(-H46/15)))*(1-J46),3)</f>
        <v>0.152</v>
      </c>
      <c r="J46" s="42" t="n">
        <f aca="false">ROUND(MAX(0.19,0.56-ABS(H46)/48),3)</f>
        <v>0.418</v>
      </c>
      <c r="K46" s="42" t="n">
        <f aca="false">ROUND(1-I46-J46,3)</f>
        <v>0.43</v>
      </c>
      <c r="L46" s="90" t="str">
        <f aca="false">IF(AND(J46&gt;=I46,J46&gt;=K46),MAX(0,ROUND((AC46+AD46)/2,0))&amp;" - "&amp;MAX(0,ROUND((AC46+AD46)/2,0)),IF(I46&gt;=K46,MAX(ROUND(AC46+0.35,0),MAX(0,ROUND(AD46-0.15,0))+1)&amp;" - "&amp;MAX(0,ROUND(AD46-0.15,0)),MAX(0,ROUND(AC46-0.15,0))&amp;" - "&amp;MAX(ROUND(AD46+0.35,0),MAX(0,ROUND(AC46-0.15,0))+1)))</f>
        <v>1 - 2</v>
      </c>
      <c r="M46" s="60" t="str">
        <f aca="false">IF(AND(J46&gt;=I46,J46&gt;=K46),"Draw",IF(I46&gt;=K46,D46&amp;" win",E46&amp;" win"))</f>
        <v>Austria win</v>
      </c>
      <c r="N46" s="42" t="n">
        <f aca="false">MAX(I46,J46,K46)</f>
        <v>0.43</v>
      </c>
      <c r="O46" s="41"/>
      <c r="P46" s="45"/>
      <c r="Q46" s="91"/>
      <c r="R46" s="91"/>
      <c r="S46" s="92" t="str">
        <f aca="false">IF(OR(Q46="",R46=""),"",IF(Q46&gt;R46,D46&amp;" win",IF(R46&gt;Q46,E46&amp;" win","Draw")))</f>
        <v/>
      </c>
      <c r="T46" s="92" t="str">
        <f aca="false">IF(U46="","",CHOOSE(MATCH(U46,{0,5,7,8,9,15},0),"Errou","Apenas Vencedor","Vencedor+Gols","Empate","Vencedor+Saldo","CRAVADA"))</f>
        <v/>
      </c>
      <c r="U46" s="93" t="str">
        <f aca="false">IF(OR(Q46="",R46=""),"",IF(AND(AA46=Q46,AB46=R46),15,IF(AND(AA46=AB46,Q46=R46),8,IF(AND(AA46&gt;AB46,Q46&gt;R46),IF((AA46-AB46)=(Q46-R46),9,IF(AA46=Q46,7,5)),IF(AND(AA46&lt;AB46,Q46&lt;R46),IF((AB46-AA46)=(R46-Q46),9,IF(AB46=R46,7,5)),0)))))</f>
        <v/>
      </c>
      <c r="AA46" s="1" t="n">
        <f aca="false">IFERROR(VALUE(LEFT(L46,FIND(" - ",L46)-1)),"")</f>
        <v>1</v>
      </c>
      <c r="AB46" s="1" t="n">
        <f aca="false">IFERROR(VALUE(MID(L46,FIND(" - ",L46)+3,10)),"")</f>
        <v>2</v>
      </c>
      <c r="AC46" s="1" t="n">
        <f aca="false">INDEX(Form_L20!$M$5:$M$52,MATCH(D46,Form_L20!$B$5:$B$52,0))*0.6+INDEX(Form_L20!$N$5:$N$52,MATCH(E46,Form_L20!$B$5:$B$52,0))*0.4</f>
        <v>1.52</v>
      </c>
      <c r="AD46" s="1" t="n">
        <f aca="false">INDEX(Form_L20!$M$5:$M$52,MATCH(E46,Form_L20!$B$5:$B$52,0))*0.6+INDEX(Form_L20!$N$5:$N$52,MATCH(D46,Form_L20!$B$5:$B$52,0))*0.4</f>
        <v>1.95</v>
      </c>
    </row>
    <row r="47" customFormat="false" ht="15" hidden="false" customHeight="true" outlineLevel="0" collapsed="false">
      <c r="A47" s="85" t="n">
        <v>42</v>
      </c>
      <c r="B47" s="85" t="s">
        <v>126</v>
      </c>
      <c r="C47" s="86" t="n">
        <v>46195</v>
      </c>
      <c r="D47" s="87" t="s">
        <v>125</v>
      </c>
      <c r="E47" s="87" t="s">
        <v>132</v>
      </c>
      <c r="F47" s="88" t="n">
        <f aca="false">ROUND((INDEX(Form_L20!$R$5:$R$52,MATCH(D47,Form_L20!$B$5:$B$52,0))*40+MIN(2,MAX(-2.5,INDEX(Form_L20!$M$5:$M$52,MATCH(D47,Form_L20!$B$5:$B$52,0))-INDEX(Form_L20!$N$5:$N$52,MATCH(D47,Form_L20!$B$5:$B$52,0))))*8+MIN(1.3,MAX(-0.7,1.3-INDEX(Form_L20!$N$5:$N$52,MATCH(D47,Form_L20!$B$5:$B$52,0))))*6)*INDEX(Form_L20!$Q$5:$Q$52,MATCH(D47,Form_L20!$B$5:$B$52,0))+INDEX(Tactics!$J$5:$J$52,MATCH(D47,Tactics!$B$5:$B$52,0))*0.3+INDEX(Tactics!$H$5:$H$52,MATCH(D47,Tactics!$B$5:$B$52,0))*1.5,1)</f>
        <v>88.1</v>
      </c>
      <c r="G47" s="88" t="n">
        <f aca="false">ROUND((INDEX(Form_L20!$R$5:$R$52,MATCH(E47,Form_L20!$B$5:$B$52,0))*40+MIN(2,MAX(-2.5,INDEX(Form_L20!$M$5:$M$52,MATCH(E47,Form_L20!$B$5:$B$52,0))-INDEX(Form_L20!$N$5:$N$52,MATCH(E47,Form_L20!$B$5:$B$52,0))))*8+MIN(1.3,MAX(-0.7,1.3-INDEX(Form_L20!$N$5:$N$52,MATCH(E47,Form_L20!$B$5:$B$52,0))))*6)*INDEX(Form_L20!$Q$5:$Q$52,MATCH(E47,Form_L20!$B$5:$B$52,0))+INDEX(Tactics!$J$5:$J$52,MATCH(E47,Tactics!$B$5:$B$52,0))*0.3+INDEX(Tactics!$H$5:$H$52,MATCH(E47,Tactics!$B$5:$B$52,0))*1.5,1)</f>
        <v>49.7</v>
      </c>
      <c r="H47" s="89" t="n">
        <f aca="false">F47-G47</f>
        <v>38.4</v>
      </c>
      <c r="I47" s="42" t="n">
        <f aca="false">ROUND((1/(1+10^(-H47/15)))*(1-J47),3)</f>
        <v>0.808</v>
      </c>
      <c r="J47" s="42" t="n">
        <f aca="false">ROUND(MAX(0.19,0.56-ABS(H47)/48),3)</f>
        <v>0.19</v>
      </c>
      <c r="K47" s="42" t="n">
        <f aca="false">ROUND(1-I47-J47,3)</f>
        <v>0.002</v>
      </c>
      <c r="L47" s="90" t="str">
        <f aca="false">IF(AND(J47&gt;=I47,J47&gt;=K47),MAX(0,ROUND((AC47+AD47)/2,0))&amp;" - "&amp;MAX(0,ROUND((AC47+AD47)/2,0)),IF(I47&gt;=K47,MAX(ROUND(AC47+0.35,0),MAX(0,ROUND(AD47-0.15,0))+1)&amp;" - "&amp;MAX(0,ROUND(AD47-0.15,0)),MAX(0,ROUND(AC47-0.15,0))&amp;" - "&amp;MAX(ROUND(AD47+0.35,0),MAX(0,ROUND(AC47-0.15,0))+1)))</f>
        <v>2 - 1</v>
      </c>
      <c r="M47" s="60" t="str">
        <f aca="false">IF(AND(J47&gt;=I47,J47&gt;=K47),"Draw",IF(I47&gt;=K47,D47&amp;" win",E47&amp;" win"))</f>
        <v>France win</v>
      </c>
      <c r="N47" s="42" t="n">
        <f aca="false">MAX(I47,J47,K47)</f>
        <v>0.808</v>
      </c>
      <c r="O47" s="41"/>
      <c r="P47" s="45"/>
      <c r="Q47" s="91"/>
      <c r="R47" s="91"/>
      <c r="S47" s="92" t="str">
        <f aca="false">IF(OR(Q47="",R47=""),"",IF(Q47&gt;R47,D47&amp;" win",IF(R47&gt;Q47,E47&amp;" win","Draw")))</f>
        <v/>
      </c>
      <c r="T47" s="92" t="str">
        <f aca="false">IF(U47="","",CHOOSE(MATCH(U47,{0,5,7,8,9,15},0),"Errou","Apenas Vencedor","Vencedor+Gols","Empate","Vencedor+Saldo","CRAVADA"))</f>
        <v/>
      </c>
      <c r="U47" s="93" t="str">
        <f aca="false">IF(OR(Q47="",R47=""),"",IF(AND(AA47=Q47,AB47=R47),15,IF(AND(AA47=AB47,Q47=R47),8,IF(AND(AA47&gt;AB47,Q47&gt;R47),IF((AA47-AB47)=(Q47-R47),9,IF(AA47=Q47,7,5)),IF(AND(AA47&lt;AB47,Q47&lt;R47),IF((AB47-AA47)=(R47-Q47),9,IF(AB47=R47,7,5)),0)))))</f>
        <v/>
      </c>
      <c r="AA47" s="1" t="n">
        <f aca="false">IFERROR(VALUE(LEFT(L47,FIND(" - ",L47)-1)),"")</f>
        <v>2</v>
      </c>
      <c r="AB47" s="1" t="n">
        <f aca="false">IFERROR(VALUE(MID(L47,FIND(" - ",L47)+3,10)),"")</f>
        <v>1</v>
      </c>
      <c r="AC47" s="1" t="n">
        <f aca="false">INDEX(Form_L20!$M$5:$M$52,MATCH(D47,Form_L20!$B$5:$B$52,0))*0.6+INDEX(Form_L20!$N$5:$N$52,MATCH(E47,Form_L20!$B$5:$B$52,0))*0.4</f>
        <v>1.72142857142857</v>
      </c>
      <c r="AD47" s="1" t="n">
        <f aca="false">INDEX(Form_L20!$M$5:$M$52,MATCH(E47,Form_L20!$B$5:$B$52,0))*0.6+INDEX(Form_L20!$N$5:$N$52,MATCH(D47,Form_L20!$B$5:$B$52,0))*0.4</f>
        <v>0.862857142857143</v>
      </c>
    </row>
    <row r="48" customFormat="false" ht="15" hidden="false" customHeight="true" outlineLevel="0" collapsed="false">
      <c r="A48" s="85" t="n">
        <v>43</v>
      </c>
      <c r="B48" s="85" t="s">
        <v>126</v>
      </c>
      <c r="C48" s="86" t="n">
        <v>46195</v>
      </c>
      <c r="D48" s="87" t="s">
        <v>130</v>
      </c>
      <c r="E48" s="87" t="s">
        <v>128</v>
      </c>
      <c r="F48" s="88" t="n">
        <f aca="false">ROUND((INDEX(Form_L20!$R$5:$R$52,MATCH(D48,Form_L20!$B$5:$B$52,0))*40+MIN(2,MAX(-2.5,INDEX(Form_L20!$M$5:$M$52,MATCH(D48,Form_L20!$B$5:$B$52,0))-INDEX(Form_L20!$N$5:$N$52,MATCH(D48,Form_L20!$B$5:$B$52,0))))*8+MIN(1.3,MAX(-0.7,1.3-INDEX(Form_L20!$N$5:$N$52,MATCH(D48,Form_L20!$B$5:$B$52,0))))*6)*INDEX(Form_L20!$Q$5:$Q$52,MATCH(D48,Form_L20!$B$5:$B$52,0))+INDEX(Tactics!$J$5:$J$52,MATCH(D48,Tactics!$B$5:$B$52,0))*0.3+INDEX(Tactics!$H$5:$H$52,MATCH(D48,Tactics!$B$5:$B$52,0))*1.5,1)</f>
        <v>79.4</v>
      </c>
      <c r="G48" s="88" t="n">
        <f aca="false">ROUND((INDEX(Form_L20!$R$5:$R$52,MATCH(E48,Form_L20!$B$5:$B$52,0))*40+MIN(2,MAX(-2.5,INDEX(Form_L20!$M$5:$M$52,MATCH(E48,Form_L20!$B$5:$B$52,0))-INDEX(Form_L20!$N$5:$N$52,MATCH(E48,Form_L20!$B$5:$B$52,0))))*8+MIN(1.3,MAX(-0.7,1.3-INDEX(Form_L20!$N$5:$N$52,MATCH(E48,Form_L20!$B$5:$B$52,0))))*6)*INDEX(Form_L20!$Q$5:$Q$52,MATCH(E48,Form_L20!$B$5:$B$52,0))+INDEX(Tactics!$J$5:$J$52,MATCH(E48,Tactics!$B$5:$B$52,0))*0.3+INDEX(Tactics!$H$5:$H$52,MATCH(E48,Tactics!$B$5:$B$52,0))*1.5,1)</f>
        <v>83.7</v>
      </c>
      <c r="H48" s="89" t="n">
        <f aca="false">F48-G48</f>
        <v>-4.3</v>
      </c>
      <c r="I48" s="42" t="n">
        <f aca="false">ROUND((1/(1+10^(-H48/15)))*(1-J48),3)</f>
        <v>0.181</v>
      </c>
      <c r="J48" s="42" t="n">
        <f aca="false">ROUND(MAX(0.19,0.56-ABS(H48)/48),3)</f>
        <v>0.47</v>
      </c>
      <c r="K48" s="42" t="n">
        <f aca="false">ROUND(1-I48-J48,3)</f>
        <v>0.349</v>
      </c>
      <c r="L48" s="90" t="str">
        <f aca="false">IF(AND(J48&gt;=I48,J48&gt;=K48),MAX(0,ROUND((AC48+AD48)/2,0))&amp;" - "&amp;MAX(0,ROUND((AC48+AD48)/2,0)),IF(I48&gt;=K48,MAX(ROUND(AC48+0.35,0),MAX(0,ROUND(AD48-0.15,0))+1)&amp;" - "&amp;MAX(0,ROUND(AD48-0.15,0)),MAX(0,ROUND(AC48-0.15,0))&amp;" - "&amp;MAX(ROUND(AD48+0.35,0),MAX(0,ROUND(AC48-0.15,0))+1)))</f>
        <v>2 - 2</v>
      </c>
      <c r="M48" s="60" t="str">
        <f aca="false">IF(AND(J48&gt;=I48,J48&gt;=K48),"Draw",IF(I48&gt;=K48,D48&amp;" win",E48&amp;" win"))</f>
        <v>Draw</v>
      </c>
      <c r="N48" s="42" t="n">
        <f aca="false">MAX(I48,J48,K48)</f>
        <v>0.47</v>
      </c>
      <c r="O48" s="41"/>
      <c r="P48" s="45"/>
      <c r="Q48" s="91"/>
      <c r="R48" s="91"/>
      <c r="S48" s="92" t="str">
        <f aca="false">IF(OR(Q48="",R48=""),"",IF(Q48&gt;R48,D48&amp;" win",IF(R48&gt;Q48,E48&amp;" win","Draw")))</f>
        <v/>
      </c>
      <c r="T48" s="92" t="str">
        <f aca="false">IF(U48="","",CHOOSE(MATCH(U48,{0,5,7,8,9,15},0),"Errou","Apenas Vencedor","Vencedor+Gols","Empate","Vencedor+Saldo","CRAVADA"))</f>
        <v/>
      </c>
      <c r="U48" s="93" t="str">
        <f aca="false">IF(OR(Q48="",R48=""),"",IF(AND(AA48=Q48,AB48=R48),15,IF(AND(AA48=AB48,Q48=R48),8,IF(AND(AA48&gt;AB48,Q48&gt;R48),IF((AA48-AB48)=(Q48-R48),9,IF(AA48=Q48,7,5)),IF(AND(AA48&lt;AB48,Q48&lt;R48),IF((AB48-AA48)=(R48-Q48),9,IF(AB48=R48,7,5)),0)))))</f>
        <v/>
      </c>
      <c r="AA48" s="1" t="n">
        <f aca="false">IFERROR(VALUE(LEFT(L48,FIND(" - ",L48)-1)),"")</f>
        <v>2</v>
      </c>
      <c r="AB48" s="1" t="n">
        <f aca="false">IFERROR(VALUE(MID(L48,FIND(" - ",L48)+3,10)),"")</f>
        <v>2</v>
      </c>
      <c r="AC48" s="1" t="n">
        <f aca="false">INDEX(Form_L20!$M$5:$M$52,MATCH(D48,Form_L20!$B$5:$B$52,0))*0.6+INDEX(Form_L20!$N$5:$N$52,MATCH(E48,Form_L20!$B$5:$B$52,0))*0.4</f>
        <v>2.05846153846154</v>
      </c>
      <c r="AD48" s="1" t="n">
        <f aca="false">INDEX(Form_L20!$M$5:$M$52,MATCH(E48,Form_L20!$B$5:$B$52,0))*0.6+INDEX(Form_L20!$N$5:$N$52,MATCH(D48,Form_L20!$B$5:$B$52,0))*0.4</f>
        <v>1.75076923076923</v>
      </c>
    </row>
    <row r="49" customFormat="false" ht="15" hidden="false" customHeight="true" outlineLevel="0" collapsed="false">
      <c r="A49" s="85" t="n">
        <v>44</v>
      </c>
      <c r="B49" s="85" t="s">
        <v>135</v>
      </c>
      <c r="C49" s="86" t="n">
        <v>46195</v>
      </c>
      <c r="D49" s="87" t="s">
        <v>141</v>
      </c>
      <c r="E49" s="87" t="s">
        <v>139</v>
      </c>
      <c r="F49" s="88" t="n">
        <f aca="false">ROUND((INDEX(Form_L20!$R$5:$R$52,MATCH(D49,Form_L20!$B$5:$B$52,0))*40+MIN(2,MAX(-2.5,INDEX(Form_L20!$M$5:$M$52,MATCH(D49,Form_L20!$B$5:$B$52,0))-INDEX(Form_L20!$N$5:$N$52,MATCH(D49,Form_L20!$B$5:$B$52,0))))*8+MIN(1.3,MAX(-0.7,1.3-INDEX(Form_L20!$N$5:$N$52,MATCH(D49,Form_L20!$B$5:$B$52,0))))*6)*INDEX(Form_L20!$Q$5:$Q$52,MATCH(D49,Form_L20!$B$5:$B$52,0))+INDEX(Tactics!$J$5:$J$52,MATCH(D49,Tactics!$B$5:$B$52,0))*0.3+INDEX(Tactics!$H$5:$H$52,MATCH(D49,Tactics!$B$5:$B$52,0))*1.5,1)</f>
        <v>52.5</v>
      </c>
      <c r="G49" s="88" t="n">
        <f aca="false">ROUND((INDEX(Form_L20!$R$5:$R$52,MATCH(E49,Form_L20!$B$5:$B$52,0))*40+MIN(2,MAX(-2.5,INDEX(Form_L20!$M$5:$M$52,MATCH(E49,Form_L20!$B$5:$B$52,0))-INDEX(Form_L20!$N$5:$N$52,MATCH(E49,Form_L20!$B$5:$B$52,0))))*8+MIN(1.3,MAX(-0.7,1.3-INDEX(Form_L20!$N$5:$N$52,MATCH(E49,Form_L20!$B$5:$B$52,0))))*6)*INDEX(Form_L20!$Q$5:$Q$52,MATCH(E49,Form_L20!$B$5:$B$52,0))+INDEX(Tactics!$J$5:$J$52,MATCH(E49,Tactics!$B$5:$B$52,0))*0.3+INDEX(Tactics!$H$5:$H$52,MATCH(E49,Tactics!$B$5:$B$52,0))*1.5,1)</f>
        <v>73.8</v>
      </c>
      <c r="H49" s="89" t="n">
        <f aca="false">F49-G49</f>
        <v>-21.3</v>
      </c>
      <c r="I49" s="42" t="n">
        <f aca="false">ROUND((1/(1+10^(-H49/15)))*(1-J49),3)</f>
        <v>0.03</v>
      </c>
      <c r="J49" s="42" t="n">
        <f aca="false">ROUND(MAX(0.19,0.56-ABS(H49)/48),3)</f>
        <v>0.19</v>
      </c>
      <c r="K49" s="42" t="n">
        <f aca="false">ROUND(1-I49-J49,3)</f>
        <v>0.78</v>
      </c>
      <c r="L49" s="90" t="str">
        <f aca="false">IF(AND(J49&gt;=I49,J49&gt;=K49),MAX(0,ROUND((AC49+AD49)/2,0))&amp;" - "&amp;MAX(0,ROUND((AC49+AD49)/2,0)),IF(I49&gt;=K49,MAX(ROUND(AC49+0.35,0),MAX(0,ROUND(AD49-0.15,0))+1)&amp;" - "&amp;MAX(0,ROUND(AD49-0.15,0)),MAX(0,ROUND(AC49-0.15,0))&amp;" - "&amp;MAX(ROUND(AD49+0.35,0),MAX(0,ROUND(AC49-0.15,0))+1)))</f>
        <v>1 - 2</v>
      </c>
      <c r="M49" s="60" t="str">
        <f aca="false">IF(AND(J49&gt;=I49,J49&gt;=K49),"Draw",IF(I49&gt;=K49,D49&amp;" win",E49&amp;" win"))</f>
        <v>Algeria win</v>
      </c>
      <c r="N49" s="42" t="n">
        <f aca="false">MAX(I49,J49,K49)</f>
        <v>0.78</v>
      </c>
      <c r="O49" s="41"/>
      <c r="P49" s="45"/>
      <c r="Q49" s="91"/>
      <c r="R49" s="91"/>
      <c r="S49" s="92" t="str">
        <f aca="false">IF(OR(Q49="",R49=""),"",IF(Q49&gt;R49,D49&amp;" win",IF(R49&gt;Q49,E49&amp;" win","Draw")))</f>
        <v/>
      </c>
      <c r="T49" s="92" t="str">
        <f aca="false">IF(U49="","",CHOOSE(MATCH(U49,{0,5,7,8,9,15},0),"Errou","Apenas Vencedor","Vencedor+Gols","Empate","Vencedor+Saldo","CRAVADA"))</f>
        <v/>
      </c>
      <c r="U49" s="93" t="str">
        <f aca="false">IF(OR(Q49="",R49=""),"",IF(AND(AA49=Q49,AB49=R49),15,IF(AND(AA49=AB49,Q49=R49),8,IF(AND(AA49&gt;AB49,Q49&gt;R49),IF((AA49-AB49)=(Q49-R49),9,IF(AA49=Q49,7,5)),IF(AND(AA49&lt;AB49,Q49&lt;R49),IF((AB49-AA49)=(R49-Q49),9,IF(AB49=R49,7,5)),0)))))</f>
        <v/>
      </c>
      <c r="AA49" s="1" t="n">
        <f aca="false">IFERROR(VALUE(LEFT(L49,FIND(" - ",L49)-1)),"")</f>
        <v>1</v>
      </c>
      <c r="AB49" s="1" t="n">
        <f aca="false">IFERROR(VALUE(MID(L49,FIND(" - ",L49)+3,10)),"")</f>
        <v>2</v>
      </c>
      <c r="AC49" s="1" t="n">
        <f aca="false">INDEX(Form_L20!$M$5:$M$52,MATCH(D49,Form_L20!$B$5:$B$52,0))*0.6+INDEX(Form_L20!$N$5:$N$52,MATCH(E49,Form_L20!$B$5:$B$52,0))*0.4</f>
        <v>1.4</v>
      </c>
      <c r="AD49" s="1" t="n">
        <f aca="false">INDEX(Form_L20!$M$5:$M$52,MATCH(E49,Form_L20!$B$5:$B$52,0))*0.6+INDEX(Form_L20!$N$5:$N$52,MATCH(D49,Form_L20!$B$5:$B$52,0))*0.4</f>
        <v>1.84</v>
      </c>
    </row>
    <row r="50" customFormat="false" ht="15" hidden="false" customHeight="true" outlineLevel="0" collapsed="false">
      <c r="A50" s="85" t="n">
        <v>45</v>
      </c>
      <c r="B50" s="85" t="s">
        <v>143</v>
      </c>
      <c r="C50" s="86" t="n">
        <v>46196</v>
      </c>
      <c r="D50" s="87" t="s">
        <v>142</v>
      </c>
      <c r="E50" s="87" t="s">
        <v>147</v>
      </c>
      <c r="F50" s="88" t="n">
        <f aca="false">ROUND((INDEX(Form_L20!$R$5:$R$52,MATCH(D50,Form_L20!$B$5:$B$52,0))*40+MIN(2,MAX(-2.5,INDEX(Form_L20!$M$5:$M$52,MATCH(D50,Form_L20!$B$5:$B$52,0))-INDEX(Form_L20!$N$5:$N$52,MATCH(D50,Form_L20!$B$5:$B$52,0))))*8+MIN(1.3,MAX(-0.7,1.3-INDEX(Form_L20!$N$5:$N$52,MATCH(D50,Form_L20!$B$5:$B$52,0))))*6)*INDEX(Form_L20!$Q$5:$Q$52,MATCH(D50,Form_L20!$B$5:$B$52,0))+INDEX(Tactics!$J$5:$J$52,MATCH(D50,Tactics!$B$5:$B$52,0))*0.3+INDEX(Tactics!$H$5:$H$52,MATCH(D50,Tactics!$B$5:$B$52,0))*1.5,1)</f>
        <v>79.7</v>
      </c>
      <c r="G50" s="88" t="n">
        <f aca="false">ROUND((INDEX(Form_L20!$R$5:$R$52,MATCH(E50,Form_L20!$B$5:$B$52,0))*40+MIN(2,MAX(-2.5,INDEX(Form_L20!$M$5:$M$52,MATCH(E50,Form_L20!$B$5:$B$52,0))-INDEX(Form_L20!$N$5:$N$52,MATCH(E50,Form_L20!$B$5:$B$52,0))))*8+MIN(1.3,MAX(-0.7,1.3-INDEX(Form_L20!$N$5:$N$52,MATCH(E50,Form_L20!$B$5:$B$52,0))))*6)*INDEX(Form_L20!$Q$5:$Q$52,MATCH(E50,Form_L20!$B$5:$B$52,0))+INDEX(Tactics!$J$5:$J$52,MATCH(E50,Tactics!$B$5:$B$52,0))*0.3+INDEX(Tactics!$H$5:$H$52,MATCH(E50,Tactics!$B$5:$B$52,0))*1.5,1)</f>
        <v>59.1</v>
      </c>
      <c r="H50" s="89" t="n">
        <f aca="false">F50-G50</f>
        <v>20.6</v>
      </c>
      <c r="I50" s="42" t="n">
        <f aca="false">ROUND((1/(1+10^(-H50/15)))*(1-J50),3)</f>
        <v>0.777</v>
      </c>
      <c r="J50" s="42" t="n">
        <f aca="false">ROUND(MAX(0.19,0.56-ABS(H50)/48),3)</f>
        <v>0.19</v>
      </c>
      <c r="K50" s="42" t="n">
        <f aca="false">ROUND(1-I50-J50,3)</f>
        <v>0.033</v>
      </c>
      <c r="L50" s="90" t="str">
        <f aca="false">IF(AND(J50&gt;=I50,J50&gt;=K50),MAX(0,ROUND((AC50+AD50)/2,0))&amp;" - "&amp;MAX(0,ROUND((AC50+AD50)/2,0)),IF(I50&gt;=K50,MAX(ROUND(AC50+0.35,0),MAX(0,ROUND(AD50-0.15,0))+1)&amp;" - "&amp;MAX(0,ROUND(AD50-0.15,0)),MAX(0,ROUND(AC50-0.15,0))&amp;" - "&amp;MAX(ROUND(AD50+0.35,0),MAX(0,ROUND(AC50-0.15,0))+1)))</f>
        <v>2 - 1</v>
      </c>
      <c r="M50" s="60" t="str">
        <f aca="false">IF(AND(J50&gt;=I50,J50&gt;=K50),"Draw",IF(I50&gt;=K50,D50&amp;" win",E50&amp;" win"))</f>
        <v>Portugal win</v>
      </c>
      <c r="N50" s="42" t="n">
        <f aca="false">MAX(I50,J50,K50)</f>
        <v>0.777</v>
      </c>
      <c r="O50" s="41"/>
      <c r="P50" s="45"/>
      <c r="Q50" s="91"/>
      <c r="R50" s="91"/>
      <c r="S50" s="92" t="str">
        <f aca="false">IF(OR(Q50="",R50=""),"",IF(Q50&gt;R50,D50&amp;" win",IF(R50&gt;Q50,E50&amp;" win","Draw")))</f>
        <v/>
      </c>
      <c r="T50" s="92" t="str">
        <f aca="false">IF(U50="","",CHOOSE(MATCH(U50,{0,5,7,8,9,15},0),"Errou","Apenas Vencedor","Vencedor+Gols","Empate","Vencedor+Saldo","CRAVADA"))</f>
        <v/>
      </c>
      <c r="U50" s="93" t="str">
        <f aca="false">IF(OR(Q50="",R50=""),"",IF(AND(AA50=Q50,AB50=R50),15,IF(AND(AA50=AB50,Q50=R50),8,IF(AND(AA50&gt;AB50,Q50&gt;R50),IF((AA50-AB50)=(Q50-R50),9,IF(AA50=Q50,7,5)),IF(AND(AA50&lt;AB50,Q50&lt;R50),IF((AB50-AA50)=(R50-Q50),9,IF(AB50=R50,7,5)),0)))))</f>
        <v/>
      </c>
      <c r="AA50" s="1" t="n">
        <f aca="false">IFERROR(VALUE(LEFT(L50,FIND(" - ",L50)-1)),"")</f>
        <v>2</v>
      </c>
      <c r="AB50" s="1" t="n">
        <f aca="false">IFERROR(VALUE(MID(L50,FIND(" - ",L50)+3,10)),"")</f>
        <v>1</v>
      </c>
      <c r="AC50" s="1" t="n">
        <f aca="false">INDEX(Form_L20!$M$5:$M$52,MATCH(D50,Form_L20!$B$5:$B$52,0))*0.6+INDEX(Form_L20!$N$5:$N$52,MATCH(E50,Form_L20!$B$5:$B$52,0))*0.4</f>
        <v>1.58</v>
      </c>
      <c r="AD50" s="1" t="n">
        <f aca="false">INDEX(Form_L20!$M$5:$M$52,MATCH(E50,Form_L20!$B$5:$B$52,0))*0.6+INDEX(Form_L20!$N$5:$N$52,MATCH(D50,Form_L20!$B$5:$B$52,0))*0.4</f>
        <v>1.22</v>
      </c>
    </row>
    <row r="51" customFormat="false" ht="15" hidden="false" customHeight="true" outlineLevel="0" collapsed="false">
      <c r="A51" s="85" t="n">
        <v>46</v>
      </c>
      <c r="B51" s="85" t="s">
        <v>150</v>
      </c>
      <c r="C51" s="86" t="n">
        <v>46196</v>
      </c>
      <c r="D51" s="87" t="s">
        <v>149</v>
      </c>
      <c r="E51" s="87" t="s">
        <v>156</v>
      </c>
      <c r="F51" s="88" t="n">
        <f aca="false">ROUND((INDEX(Form_L20!$R$5:$R$52,MATCH(D51,Form_L20!$B$5:$B$52,0))*40+MIN(2,MAX(-2.5,INDEX(Form_L20!$M$5:$M$52,MATCH(D51,Form_L20!$B$5:$B$52,0))-INDEX(Form_L20!$N$5:$N$52,MATCH(D51,Form_L20!$B$5:$B$52,0))))*8+MIN(1.3,MAX(-0.7,1.3-INDEX(Form_L20!$N$5:$N$52,MATCH(D51,Form_L20!$B$5:$B$52,0))))*6)*INDEX(Form_L20!$Q$5:$Q$52,MATCH(D51,Form_L20!$B$5:$B$52,0))+INDEX(Tactics!$J$5:$J$52,MATCH(D51,Tactics!$B$5:$B$52,0))*0.3+INDEX(Tactics!$H$5:$H$52,MATCH(D51,Tactics!$B$5:$B$52,0))*1.5,1)</f>
        <v>81.7</v>
      </c>
      <c r="G51" s="88" t="n">
        <f aca="false">ROUND((INDEX(Form_L20!$R$5:$R$52,MATCH(E51,Form_L20!$B$5:$B$52,0))*40+MIN(2,MAX(-2.5,INDEX(Form_L20!$M$5:$M$52,MATCH(E51,Form_L20!$B$5:$B$52,0))-INDEX(Form_L20!$N$5:$N$52,MATCH(E51,Form_L20!$B$5:$B$52,0))))*8+MIN(1.3,MAX(-0.7,1.3-INDEX(Form_L20!$N$5:$N$52,MATCH(E51,Form_L20!$B$5:$B$52,0))))*6)*INDEX(Form_L20!$Q$5:$Q$52,MATCH(E51,Form_L20!$B$5:$B$52,0))+INDEX(Tactics!$J$5:$J$52,MATCH(E51,Tactics!$B$5:$B$52,0))*0.3+INDEX(Tactics!$H$5:$H$52,MATCH(E51,Tactics!$B$5:$B$52,0))*1.5,1)</f>
        <v>68.6</v>
      </c>
      <c r="H51" s="89" t="n">
        <f aca="false">F51-G51</f>
        <v>13.1</v>
      </c>
      <c r="I51" s="42" t="n">
        <f aca="false">ROUND((1/(1+10^(-H51/15)))*(1-J51),3)</f>
        <v>0.629</v>
      </c>
      <c r="J51" s="42" t="n">
        <f aca="false">ROUND(MAX(0.19,0.56-ABS(H51)/48),3)</f>
        <v>0.287</v>
      </c>
      <c r="K51" s="42" t="n">
        <f aca="false">ROUND(1-I51-J51,3)</f>
        <v>0.084</v>
      </c>
      <c r="L51" s="90" t="str">
        <f aca="false">IF(AND(J51&gt;=I51,J51&gt;=K51),MAX(0,ROUND((AC51+AD51)/2,0))&amp;" - "&amp;MAX(0,ROUND((AC51+AD51)/2,0)),IF(I51&gt;=K51,MAX(ROUND(AC51+0.35,0),MAX(0,ROUND(AD51-0.15,0))+1)&amp;" - "&amp;MAX(0,ROUND(AD51-0.15,0)),MAX(0,ROUND(AC51-0.15,0))&amp;" - "&amp;MAX(ROUND(AD51+0.35,0),MAX(0,ROUND(AC51-0.15,0))+1)))</f>
        <v>2 - 1</v>
      </c>
      <c r="M51" s="60" t="str">
        <f aca="false">IF(AND(J51&gt;=I51,J51&gt;=K51),"Draw",IF(I51&gt;=K51,D51&amp;" win",E51&amp;" win"))</f>
        <v>England win</v>
      </c>
      <c r="N51" s="42" t="n">
        <f aca="false">MAX(I51,J51,K51)</f>
        <v>0.629</v>
      </c>
      <c r="O51" s="41"/>
      <c r="P51" s="45"/>
      <c r="Q51" s="91"/>
      <c r="R51" s="91"/>
      <c r="S51" s="92" t="str">
        <f aca="false">IF(OR(Q51="",R51=""),"",IF(Q51&gt;R51,D51&amp;" win",IF(R51&gt;Q51,E51&amp;" win","Draw")))</f>
        <v/>
      </c>
      <c r="T51" s="92" t="str">
        <f aca="false">IF(U51="","",CHOOSE(MATCH(U51,{0,5,7,8,9,15},0),"Errou","Apenas Vencedor","Vencedor+Gols","Empate","Vencedor+Saldo","CRAVADA"))</f>
        <v/>
      </c>
      <c r="U51" s="93" t="str">
        <f aca="false">IF(OR(Q51="",R51=""),"",IF(AND(AA51=Q51,AB51=R51),15,IF(AND(AA51=AB51,Q51=R51),8,IF(AND(AA51&gt;AB51,Q51&gt;R51),IF((AA51-AB51)=(Q51-R51),9,IF(AA51=Q51,7,5)),IF(AND(AA51&lt;AB51,Q51&lt;R51),IF((AB51-AA51)=(R51-Q51),9,IF(AB51=R51,7,5)),0)))))</f>
        <v/>
      </c>
      <c r="AA51" s="1" t="n">
        <f aca="false">IFERROR(VALUE(LEFT(L51,FIND(" - ",L51)-1)),"")</f>
        <v>2</v>
      </c>
      <c r="AB51" s="1" t="n">
        <f aca="false">IFERROR(VALUE(MID(L51,FIND(" - ",L51)+3,10)),"")</f>
        <v>1</v>
      </c>
      <c r="AC51" s="1" t="n">
        <f aca="false">INDEX(Form_L20!$M$5:$M$52,MATCH(D51,Form_L20!$B$5:$B$52,0))*0.6+INDEX(Form_L20!$N$5:$N$52,MATCH(E51,Form_L20!$B$5:$B$52,0))*0.4</f>
        <v>1.44</v>
      </c>
      <c r="AD51" s="1" t="n">
        <f aca="false">INDEX(Form_L20!$M$5:$M$52,MATCH(E51,Form_L20!$B$5:$B$52,0))*0.6+INDEX(Form_L20!$N$5:$N$52,MATCH(D51,Form_L20!$B$5:$B$52,0))*0.4</f>
        <v>1.64</v>
      </c>
    </row>
    <row r="52" customFormat="false" ht="15" hidden="false" customHeight="true" outlineLevel="0" collapsed="false">
      <c r="A52" s="85" t="n">
        <v>47</v>
      </c>
      <c r="B52" s="85" t="s">
        <v>150</v>
      </c>
      <c r="C52" s="86" t="n">
        <v>46196</v>
      </c>
      <c r="D52" s="87" t="s">
        <v>154</v>
      </c>
      <c r="E52" s="87" t="s">
        <v>152</v>
      </c>
      <c r="F52" s="88" t="n">
        <f aca="false">ROUND((INDEX(Form_L20!$R$5:$R$52,MATCH(D52,Form_L20!$B$5:$B$52,0))*40+MIN(2,MAX(-2.5,INDEX(Form_L20!$M$5:$M$52,MATCH(D52,Form_L20!$B$5:$B$52,0))-INDEX(Form_L20!$N$5:$N$52,MATCH(D52,Form_L20!$B$5:$B$52,0))))*8+MIN(1.3,MAX(-0.7,1.3-INDEX(Form_L20!$N$5:$N$52,MATCH(D52,Form_L20!$B$5:$B$52,0))))*6)*INDEX(Form_L20!$Q$5:$Q$52,MATCH(D52,Form_L20!$B$5:$B$52,0))+INDEX(Tactics!$J$5:$J$52,MATCH(D52,Tactics!$B$5:$B$52,0))*0.3+INDEX(Tactics!$H$5:$H$52,MATCH(D52,Tactics!$B$5:$B$52,0))*1.5,1)</f>
        <v>58.5</v>
      </c>
      <c r="G52" s="88" t="n">
        <f aca="false">ROUND((INDEX(Form_L20!$R$5:$R$52,MATCH(E52,Form_L20!$B$5:$B$52,0))*40+MIN(2,MAX(-2.5,INDEX(Form_L20!$M$5:$M$52,MATCH(E52,Form_L20!$B$5:$B$52,0))-INDEX(Form_L20!$N$5:$N$52,MATCH(E52,Form_L20!$B$5:$B$52,0))))*8+MIN(1.3,MAX(-0.7,1.3-INDEX(Form_L20!$N$5:$N$52,MATCH(E52,Form_L20!$B$5:$B$52,0))))*6)*INDEX(Form_L20!$Q$5:$Q$52,MATCH(E52,Form_L20!$B$5:$B$52,0))+INDEX(Tactics!$J$5:$J$52,MATCH(E52,Tactics!$B$5:$B$52,0))*0.3+INDEX(Tactics!$H$5:$H$52,MATCH(E52,Tactics!$B$5:$B$52,0))*1.5,1)</f>
        <v>70</v>
      </c>
      <c r="H52" s="89" t="n">
        <f aca="false">F52-G52</f>
        <v>-11.5</v>
      </c>
      <c r="I52" s="42" t="n">
        <f aca="false">ROUND((1/(1+10^(-H52/15)))*(1-J52),3)</f>
        <v>0.099</v>
      </c>
      <c r="J52" s="42" t="n">
        <f aca="false">ROUND(MAX(0.19,0.56-ABS(H52)/48),3)</f>
        <v>0.32</v>
      </c>
      <c r="K52" s="42" t="n">
        <f aca="false">ROUND(1-I52-J52,3)</f>
        <v>0.581</v>
      </c>
      <c r="L52" s="90" t="str">
        <f aca="false">IF(AND(J52&gt;=I52,J52&gt;=K52),MAX(0,ROUND((AC52+AD52)/2,0))&amp;" - "&amp;MAX(0,ROUND((AC52+AD52)/2,0)),IF(I52&gt;=K52,MAX(ROUND(AC52+0.35,0),MAX(0,ROUND(AD52-0.15,0))+1)&amp;" - "&amp;MAX(0,ROUND(AD52-0.15,0)),MAX(0,ROUND(AC52-0.15,0))&amp;" - "&amp;MAX(ROUND(AD52+0.35,0),MAX(0,ROUND(AC52-0.15,0))+1)))</f>
        <v>1 - 2</v>
      </c>
      <c r="M52" s="60" t="str">
        <f aca="false">IF(AND(J52&gt;=I52,J52&gt;=K52),"Draw",IF(I52&gt;=K52,D52&amp;" win",E52&amp;" win"))</f>
        <v>Croatia win</v>
      </c>
      <c r="N52" s="42" t="n">
        <f aca="false">MAX(I52,J52,K52)</f>
        <v>0.581</v>
      </c>
      <c r="O52" s="41"/>
      <c r="P52" s="45"/>
      <c r="Q52" s="91"/>
      <c r="R52" s="91"/>
      <c r="S52" s="92" t="str">
        <f aca="false">IF(OR(Q52="",R52=""),"",IF(Q52&gt;R52,D52&amp;" win",IF(R52&gt;Q52,E52&amp;" win","Draw")))</f>
        <v/>
      </c>
      <c r="T52" s="92" t="str">
        <f aca="false">IF(U52="","",CHOOSE(MATCH(U52,{0,5,7,8,9,15},0),"Errou","Apenas Vencedor","Vencedor+Gols","Empate","Vencedor+Saldo","CRAVADA"))</f>
        <v/>
      </c>
      <c r="U52" s="93" t="str">
        <f aca="false">IF(OR(Q52="",R52=""),"",IF(AND(AA52=Q52,AB52=R52),15,IF(AND(AA52=AB52,Q52=R52),8,IF(AND(AA52&gt;AB52,Q52&gt;R52),IF((AA52-AB52)=(Q52-R52),9,IF(AA52=Q52,7,5)),IF(AND(AA52&lt;AB52,Q52&lt;R52),IF((AB52-AA52)=(R52-Q52),9,IF(AB52=R52,7,5)),0)))))</f>
        <v/>
      </c>
      <c r="AA52" s="1" t="n">
        <f aca="false">IFERROR(VALUE(LEFT(L52,FIND(" - ",L52)-1)),"")</f>
        <v>1</v>
      </c>
      <c r="AB52" s="1" t="n">
        <f aca="false">IFERROR(VALUE(MID(L52,FIND(" - ",L52)+3,10)),"")</f>
        <v>2</v>
      </c>
      <c r="AC52" s="1" t="n">
        <f aca="false">INDEX(Form_L20!$M$5:$M$52,MATCH(D52,Form_L20!$B$5:$B$52,0))*0.6+INDEX(Form_L20!$N$5:$N$52,MATCH(E52,Form_L20!$B$5:$B$52,0))*0.4</f>
        <v>1.26</v>
      </c>
      <c r="AD52" s="1" t="n">
        <f aca="false">INDEX(Form_L20!$M$5:$M$52,MATCH(E52,Form_L20!$B$5:$B$52,0))*0.6+INDEX(Form_L20!$N$5:$N$52,MATCH(D52,Form_L20!$B$5:$B$52,0))*0.4</f>
        <v>1.28666666666667</v>
      </c>
    </row>
    <row r="53" customFormat="false" ht="15" hidden="false" customHeight="true" outlineLevel="0" collapsed="false">
      <c r="A53" s="85" t="n">
        <v>48</v>
      </c>
      <c r="B53" s="85" t="s">
        <v>143</v>
      </c>
      <c r="C53" s="86" t="n">
        <v>46196</v>
      </c>
      <c r="D53" s="87" t="s">
        <v>145</v>
      </c>
      <c r="E53" s="87" t="s">
        <v>148</v>
      </c>
      <c r="F53" s="88" t="n">
        <f aca="false">ROUND((INDEX(Form_L20!$R$5:$R$52,MATCH(D53,Form_L20!$B$5:$B$52,0))*40+MIN(2,MAX(-2.5,INDEX(Form_L20!$M$5:$M$52,MATCH(D53,Form_L20!$B$5:$B$52,0))-INDEX(Form_L20!$N$5:$N$52,MATCH(D53,Form_L20!$B$5:$B$52,0))))*8+MIN(1.3,MAX(-0.7,1.3-INDEX(Form_L20!$N$5:$N$52,MATCH(D53,Form_L20!$B$5:$B$52,0))))*6)*INDEX(Form_L20!$Q$5:$Q$52,MATCH(D53,Form_L20!$B$5:$B$52,0))+INDEX(Tactics!$J$5:$J$52,MATCH(D53,Tactics!$B$5:$B$52,0))*0.3+INDEX(Tactics!$H$5:$H$52,MATCH(D53,Tactics!$B$5:$B$52,0))*1.5,1)</f>
        <v>70.9</v>
      </c>
      <c r="G53" s="88" t="n">
        <f aca="false">ROUND((INDEX(Form_L20!$R$5:$R$52,MATCH(E53,Form_L20!$B$5:$B$52,0))*40+MIN(2,MAX(-2.5,INDEX(Form_L20!$M$5:$M$52,MATCH(E53,Form_L20!$B$5:$B$52,0))-INDEX(Form_L20!$N$5:$N$52,MATCH(E53,Form_L20!$B$5:$B$52,0))))*8+MIN(1.3,MAX(-0.7,1.3-INDEX(Form_L20!$N$5:$N$52,MATCH(E53,Form_L20!$B$5:$B$52,0))))*6)*INDEX(Form_L20!$Q$5:$Q$52,MATCH(E53,Form_L20!$B$5:$B$52,0))+INDEX(Tactics!$J$5:$J$52,MATCH(E53,Tactics!$B$5:$B$52,0))*0.3+INDEX(Tactics!$H$5:$H$52,MATCH(E53,Tactics!$B$5:$B$52,0))*1.5,1)</f>
        <v>62.5</v>
      </c>
      <c r="H53" s="89" t="n">
        <f aca="false">F53-G53</f>
        <v>8.40000000000001</v>
      </c>
      <c r="I53" s="42" t="n">
        <f aca="false">ROUND((1/(1+10^(-H53/15)))*(1-J53),3)</f>
        <v>0.482</v>
      </c>
      <c r="J53" s="42" t="n">
        <f aca="false">ROUND(MAX(0.19,0.56-ABS(H53)/48),3)</f>
        <v>0.385</v>
      </c>
      <c r="K53" s="42" t="n">
        <f aca="false">ROUND(1-I53-J53,3)</f>
        <v>0.133</v>
      </c>
      <c r="L53" s="90" t="str">
        <f aca="false">IF(AND(J53&gt;=I53,J53&gt;=K53),MAX(0,ROUND((AC53+AD53)/2,0))&amp;" - "&amp;MAX(0,ROUND((AC53+AD53)/2,0)),IF(I53&gt;=K53,MAX(ROUND(AC53+0.35,0),MAX(0,ROUND(AD53-0.15,0))+1)&amp;" - "&amp;MAX(0,ROUND(AD53-0.15,0)),MAX(0,ROUND(AC53-0.15,0))&amp;" - "&amp;MAX(ROUND(AD53+0.35,0),MAX(0,ROUND(AC53-0.15,0))+1)))</f>
        <v>2 - 1</v>
      </c>
      <c r="M53" s="60" t="str">
        <f aca="false">IF(AND(J53&gt;=I53,J53&gt;=K53),"Draw",IF(I53&gt;=K53,D53&amp;" win",E53&amp;" win"))</f>
        <v>Colombia win</v>
      </c>
      <c r="N53" s="42" t="n">
        <f aca="false">MAX(I53,J53,K53)</f>
        <v>0.482</v>
      </c>
      <c r="O53" s="41"/>
      <c r="P53" s="45"/>
      <c r="Q53" s="91"/>
      <c r="R53" s="91"/>
      <c r="S53" s="92" t="str">
        <f aca="false">IF(OR(Q53="",R53=""),"",IF(Q53&gt;R53,D53&amp;" win",IF(R53&gt;Q53,E53&amp;" win","Draw")))</f>
        <v/>
      </c>
      <c r="T53" s="92" t="str">
        <f aca="false">IF(U53="","",CHOOSE(MATCH(U53,{0,5,7,8,9,15},0),"Errou","Apenas Vencedor","Vencedor+Gols","Empate","Vencedor+Saldo","CRAVADA"))</f>
        <v/>
      </c>
      <c r="U53" s="93" t="str">
        <f aca="false">IF(OR(Q53="",R53=""),"",IF(AND(AA53=Q53,AB53=R53),15,IF(AND(AA53=AB53,Q53=R53),8,IF(AND(AA53&gt;AB53,Q53&gt;R53),IF((AA53-AB53)=(Q53-R53),9,IF(AA53=Q53,7,5)),IF(AND(AA53&lt;AB53,Q53&lt;R53),IF((AB53-AA53)=(R53-Q53),9,IF(AB53=R53,7,5)),0)))))</f>
        <v/>
      </c>
      <c r="AA53" s="1" t="n">
        <f aca="false">IFERROR(VALUE(LEFT(L53,FIND(" - ",L53)-1)),"")</f>
        <v>2</v>
      </c>
      <c r="AB53" s="1" t="n">
        <f aca="false">IFERROR(VALUE(MID(L53,FIND(" - ",L53)+3,10)),"")</f>
        <v>1</v>
      </c>
      <c r="AC53" s="1" t="n">
        <f aca="false">INDEX(Form_L20!$M$5:$M$52,MATCH(D53,Form_L20!$B$5:$B$52,0))*0.6+INDEX(Form_L20!$N$5:$N$52,MATCH(E53,Form_L20!$B$5:$B$52,0))*0.4</f>
        <v>1.26666666666667</v>
      </c>
      <c r="AD53" s="1" t="n">
        <f aca="false">INDEX(Form_L20!$M$5:$M$52,MATCH(E53,Form_L20!$B$5:$B$52,0))*0.6+INDEX(Form_L20!$N$5:$N$52,MATCH(D53,Form_L20!$B$5:$B$52,0))*0.4</f>
        <v>1.2</v>
      </c>
    </row>
    <row r="54" customFormat="false" ht="15" hidden="false" customHeight="true" outlineLevel="0" collapsed="false">
      <c r="A54" s="85" t="n">
        <v>49</v>
      </c>
      <c r="B54" s="85" t="s">
        <v>67</v>
      </c>
      <c r="C54" s="86" t="n">
        <v>46197</v>
      </c>
      <c r="D54" s="87" t="s">
        <v>66</v>
      </c>
      <c r="E54" s="87" t="s">
        <v>69</v>
      </c>
      <c r="F54" s="88" t="n">
        <f aca="false">ROUND((INDEX(Form_L20!$R$5:$R$52,MATCH(D54,Form_L20!$B$5:$B$52,0))*40+MIN(2,MAX(-2.5,INDEX(Form_L20!$M$5:$M$52,MATCH(D54,Form_L20!$B$5:$B$52,0))-INDEX(Form_L20!$N$5:$N$52,MATCH(D54,Form_L20!$B$5:$B$52,0))))*8+MIN(1.3,MAX(-0.7,1.3-INDEX(Form_L20!$N$5:$N$52,MATCH(D54,Form_L20!$B$5:$B$52,0))))*6)*INDEX(Form_L20!$Q$5:$Q$52,MATCH(D54,Form_L20!$B$5:$B$52,0))+INDEX(Tactics!$J$5:$J$52,MATCH(D54,Tactics!$B$5:$B$52,0))*0.3+INDEX(Tactics!$H$5:$H$52,MATCH(D54,Tactics!$B$5:$B$52,0))*1.5,1)</f>
        <v>55.9</v>
      </c>
      <c r="G54" s="88" t="n">
        <f aca="false">ROUND((INDEX(Form_L20!$R$5:$R$52,MATCH(E54,Form_L20!$B$5:$B$52,0))*40+MIN(2,MAX(-2.5,INDEX(Form_L20!$M$5:$M$52,MATCH(E54,Form_L20!$B$5:$B$52,0))-INDEX(Form_L20!$N$5:$N$52,MATCH(E54,Form_L20!$B$5:$B$52,0))))*8+MIN(1.3,MAX(-0.7,1.3-INDEX(Form_L20!$N$5:$N$52,MATCH(E54,Form_L20!$B$5:$B$52,0))))*6)*INDEX(Form_L20!$Q$5:$Q$52,MATCH(E54,Form_L20!$B$5:$B$52,0))+INDEX(Tactics!$J$5:$J$52,MATCH(E54,Tactics!$B$5:$B$52,0))*0.3+INDEX(Tactics!$H$5:$H$52,MATCH(E54,Tactics!$B$5:$B$52,0))*1.5,1)</f>
        <v>84.1</v>
      </c>
      <c r="H54" s="89" t="n">
        <f aca="false">F54-G54</f>
        <v>-28.2</v>
      </c>
      <c r="I54" s="42" t="n">
        <f aca="false">ROUND((1/(1+10^(-H54/15)))*(1-J54),3)</f>
        <v>0.011</v>
      </c>
      <c r="J54" s="42" t="n">
        <f aca="false">ROUND(MAX(0.19,0.56-ABS(H54)/48),3)</f>
        <v>0.19</v>
      </c>
      <c r="K54" s="42" t="n">
        <f aca="false">ROUND(1-I54-J54,3)</f>
        <v>0.799</v>
      </c>
      <c r="L54" s="90" t="str">
        <f aca="false">IF(AND(J54&gt;=I54,J54&gt;=K54),MAX(0,ROUND((AC54+AD54)/2,0))&amp;" - "&amp;MAX(0,ROUND((AC54+AD54)/2,0)),IF(I54&gt;=K54,MAX(ROUND(AC54+0.35,0),MAX(0,ROUND(AD54-0.15,0))+1)&amp;" - "&amp;MAX(0,ROUND(AD54-0.15,0)),MAX(0,ROUND(AC54-0.15,0))&amp;" - "&amp;MAX(ROUND(AD54+0.35,0),MAX(0,ROUND(AC54-0.15,0))+1)))</f>
        <v>1 - 2</v>
      </c>
      <c r="M54" s="60" t="str">
        <f aca="false">IF(AND(J54&gt;=I54,J54&gt;=K54),"Draw",IF(I54&gt;=K54,D54&amp;" win",E54&amp;" win"))</f>
        <v>Switzerland win</v>
      </c>
      <c r="N54" s="42" t="n">
        <f aca="false">MAX(I54,J54,K54)</f>
        <v>0.799</v>
      </c>
      <c r="O54" s="41"/>
      <c r="P54" s="45"/>
      <c r="Q54" s="91"/>
      <c r="R54" s="91"/>
      <c r="S54" s="92" t="str">
        <f aca="false">IF(OR(Q54="",R54=""),"",IF(Q54&gt;R54,D54&amp;" win",IF(R54&gt;Q54,E54&amp;" win","Draw")))</f>
        <v/>
      </c>
      <c r="T54" s="92" t="str">
        <f aca="false">IF(U54="","",CHOOSE(MATCH(U54,{0,5,7,8,9,15},0),"Errou","Apenas Vencedor","Vencedor+Gols","Empate","Vencedor+Saldo","CRAVADA"))</f>
        <v/>
      </c>
      <c r="U54" s="93" t="str">
        <f aca="false">IF(OR(Q54="",R54=""),"",IF(AND(AA54=Q54,AB54=R54),15,IF(AND(AA54=AB54,Q54=R54),8,IF(AND(AA54&gt;AB54,Q54&gt;R54),IF((AA54-AB54)=(Q54-R54),9,IF(AA54=Q54,7,5)),IF(AND(AA54&lt;AB54,Q54&lt;R54),IF((AB54-AA54)=(R54-Q54),9,IF(AB54=R54,7,5)),0)))))</f>
        <v/>
      </c>
      <c r="AA54" s="1" t="n">
        <f aca="false">IFERROR(VALUE(LEFT(L54,FIND(" - ",L54)-1)),"")</f>
        <v>1</v>
      </c>
      <c r="AB54" s="1" t="n">
        <f aca="false">IFERROR(VALUE(MID(L54,FIND(" - ",L54)+3,10)),"")</f>
        <v>2</v>
      </c>
      <c r="AC54" s="1" t="n">
        <f aca="false">INDEX(Form_L20!$M$5:$M$52,MATCH(D54,Form_L20!$B$5:$B$52,0))*0.6+INDEX(Form_L20!$N$5:$N$52,MATCH(E54,Form_L20!$B$5:$B$52,0))*0.4</f>
        <v>0.853333333333333</v>
      </c>
      <c r="AD54" s="1" t="n">
        <f aca="false">INDEX(Form_L20!$M$5:$M$52,MATCH(E54,Form_L20!$B$5:$B$52,0))*0.6+INDEX(Form_L20!$N$5:$N$52,MATCH(D54,Form_L20!$B$5:$B$52,0))*0.4</f>
        <v>1.8</v>
      </c>
    </row>
    <row r="55" customFormat="false" ht="15" hidden="false" customHeight="true" outlineLevel="0" collapsed="false">
      <c r="A55" s="85" t="n">
        <v>50</v>
      </c>
      <c r="B55" s="85" t="s">
        <v>67</v>
      </c>
      <c r="C55" s="86" t="n">
        <v>46197</v>
      </c>
      <c r="D55" s="87" t="s">
        <v>73</v>
      </c>
      <c r="E55" s="87" t="s">
        <v>71</v>
      </c>
      <c r="F55" s="88" t="n">
        <f aca="false">ROUND((INDEX(Form_L20!$R$5:$R$52,MATCH(D55,Form_L20!$B$5:$B$52,0))*40+MIN(2,MAX(-2.5,INDEX(Form_L20!$M$5:$M$52,MATCH(D55,Form_L20!$B$5:$B$52,0))-INDEX(Form_L20!$N$5:$N$52,MATCH(D55,Form_L20!$B$5:$B$52,0))))*8+MIN(1.3,MAX(-0.7,1.3-INDEX(Form_L20!$N$5:$N$52,MATCH(D55,Form_L20!$B$5:$B$52,0))))*6)*INDEX(Form_L20!$Q$5:$Q$52,MATCH(D55,Form_L20!$B$5:$B$52,0))+INDEX(Tactics!$J$5:$J$52,MATCH(D55,Tactics!$B$5:$B$52,0))*0.3+INDEX(Tactics!$H$5:$H$52,MATCH(D55,Tactics!$B$5:$B$52,0))*1.5,1)</f>
        <v>66.7</v>
      </c>
      <c r="G55" s="88" t="n">
        <f aca="false">ROUND((INDEX(Form_L20!$R$5:$R$52,MATCH(E55,Form_L20!$B$5:$B$52,0))*40+MIN(2,MAX(-2.5,INDEX(Form_L20!$M$5:$M$52,MATCH(E55,Form_L20!$B$5:$B$52,0))-INDEX(Form_L20!$N$5:$N$52,MATCH(E55,Form_L20!$B$5:$B$52,0))))*8+MIN(1.3,MAX(-0.7,1.3-INDEX(Form_L20!$N$5:$N$52,MATCH(E55,Form_L20!$B$5:$B$52,0))))*6)*INDEX(Form_L20!$Q$5:$Q$52,MATCH(E55,Form_L20!$B$5:$B$52,0))+INDEX(Tactics!$J$5:$J$52,MATCH(E55,Tactics!$B$5:$B$52,0))*0.3+INDEX(Tactics!$H$5:$H$52,MATCH(E55,Tactics!$B$5:$B$52,0))*1.5,1)</f>
        <v>41.7</v>
      </c>
      <c r="H55" s="89" t="n">
        <f aca="false">F55-G55</f>
        <v>25</v>
      </c>
      <c r="I55" s="42" t="n">
        <f aca="false">ROUND((1/(1+10^(-H55/15)))*(1-J55),3)</f>
        <v>0.793</v>
      </c>
      <c r="J55" s="42" t="n">
        <f aca="false">ROUND(MAX(0.19,0.56-ABS(H55)/48),3)</f>
        <v>0.19</v>
      </c>
      <c r="K55" s="42" t="n">
        <f aca="false">ROUND(1-I55-J55,3)</f>
        <v>0.017</v>
      </c>
      <c r="L55" s="90" t="str">
        <f aca="false">IF(AND(J55&gt;=I55,J55&gt;=K55),MAX(0,ROUND((AC55+AD55)/2,0))&amp;" - "&amp;MAX(0,ROUND((AC55+AD55)/2,0)),IF(I55&gt;=K55,MAX(ROUND(AC55+0.35,0),MAX(0,ROUND(AD55-0.15,0))+1)&amp;" - "&amp;MAX(0,ROUND(AD55-0.15,0)),MAX(0,ROUND(AC55-0.15,0))&amp;" - "&amp;MAX(ROUND(AD55+0.35,0),MAX(0,ROUND(AC55-0.15,0))+1)))</f>
        <v>2 - 1</v>
      </c>
      <c r="M55" s="60" t="str">
        <f aca="false">IF(AND(J55&gt;=I55,J55&gt;=K55),"Draw",IF(I55&gt;=K55,D55&amp;" win",E55&amp;" win"))</f>
        <v>Bosnia and Herzegovina win</v>
      </c>
      <c r="N55" s="42" t="n">
        <f aca="false">MAX(I55,J55,K55)</f>
        <v>0.793</v>
      </c>
      <c r="O55" s="41"/>
      <c r="P55" s="45"/>
      <c r="Q55" s="91"/>
      <c r="R55" s="91"/>
      <c r="S55" s="92" t="str">
        <f aca="false">IF(OR(Q55="",R55=""),"",IF(Q55&gt;R55,D55&amp;" win",IF(R55&gt;Q55,E55&amp;" win","Draw")))</f>
        <v/>
      </c>
      <c r="T55" s="92" t="str">
        <f aca="false">IF(U55="","",CHOOSE(MATCH(U55,{0,5,7,8,9,15},0),"Errou","Apenas Vencedor","Vencedor+Gols","Empate","Vencedor+Saldo","CRAVADA"))</f>
        <v/>
      </c>
      <c r="U55" s="93" t="str">
        <f aca="false">IF(OR(Q55="",R55=""),"",IF(AND(AA55=Q55,AB55=R55),15,IF(AND(AA55=AB55,Q55=R55),8,IF(AND(AA55&gt;AB55,Q55&gt;R55),IF((AA55-AB55)=(Q55-R55),9,IF(AA55=Q55,7,5)),IF(AND(AA55&lt;AB55,Q55&lt;R55),IF((AB55-AA55)=(R55-Q55),9,IF(AB55=R55,7,5)),0)))))</f>
        <v/>
      </c>
      <c r="AA55" s="1" t="n">
        <f aca="false">IFERROR(VALUE(LEFT(L55,FIND(" - ",L55)-1)),"")</f>
        <v>2</v>
      </c>
      <c r="AB55" s="1" t="n">
        <f aca="false">IFERROR(VALUE(MID(L55,FIND(" - ",L55)+3,10)),"")</f>
        <v>1</v>
      </c>
      <c r="AC55" s="1" t="n">
        <f aca="false">INDEX(Form_L20!$M$5:$M$52,MATCH(D55,Form_L20!$B$5:$B$52,0))*0.6+INDEX(Form_L20!$N$5:$N$52,MATCH(E55,Form_L20!$B$5:$B$52,0))*0.4</f>
        <v>1.87333333333333</v>
      </c>
      <c r="AD55" s="1" t="n">
        <f aca="false">INDEX(Form_L20!$M$5:$M$52,MATCH(E55,Form_L20!$B$5:$B$52,0))*0.6+INDEX(Form_L20!$N$5:$N$52,MATCH(D55,Form_L20!$B$5:$B$52,0))*0.4</f>
        <v>1.16</v>
      </c>
    </row>
    <row r="56" customFormat="false" ht="15" hidden="false" customHeight="true" outlineLevel="0" collapsed="false">
      <c r="A56" s="85" t="n">
        <v>51</v>
      </c>
      <c r="B56" s="85" t="s">
        <v>77</v>
      </c>
      <c r="C56" s="86" t="n">
        <v>46197</v>
      </c>
      <c r="D56" s="87" t="s">
        <v>81</v>
      </c>
      <c r="E56" s="87" t="s">
        <v>75</v>
      </c>
      <c r="F56" s="88" t="n">
        <f aca="false">ROUND((INDEX(Form_L20!$R$5:$R$52,MATCH(D56,Form_L20!$B$5:$B$52,0))*40+MIN(2,MAX(-2.5,INDEX(Form_L20!$M$5:$M$52,MATCH(D56,Form_L20!$B$5:$B$52,0))-INDEX(Form_L20!$N$5:$N$52,MATCH(D56,Form_L20!$B$5:$B$52,0))))*8+MIN(1.3,MAX(-0.7,1.3-INDEX(Form_L20!$N$5:$N$52,MATCH(D56,Form_L20!$B$5:$B$52,0))))*6)*INDEX(Form_L20!$Q$5:$Q$52,MATCH(D56,Form_L20!$B$5:$B$52,0))+INDEX(Tactics!$J$5:$J$52,MATCH(D56,Tactics!$B$5:$B$52,0))*0.3+INDEX(Tactics!$H$5:$H$52,MATCH(D56,Tactics!$B$5:$B$52,0))*1.5,1)</f>
        <v>70.7</v>
      </c>
      <c r="G56" s="88" t="n">
        <f aca="false">ROUND((INDEX(Form_L20!$R$5:$R$52,MATCH(E56,Form_L20!$B$5:$B$52,0))*40+MIN(2,MAX(-2.5,INDEX(Form_L20!$M$5:$M$52,MATCH(E56,Form_L20!$B$5:$B$52,0))-INDEX(Form_L20!$N$5:$N$52,MATCH(E56,Form_L20!$B$5:$B$52,0))))*8+MIN(1.3,MAX(-0.7,1.3-INDEX(Form_L20!$N$5:$N$52,MATCH(E56,Form_L20!$B$5:$B$52,0))))*6)*INDEX(Form_L20!$Q$5:$Q$52,MATCH(E56,Form_L20!$B$5:$B$52,0))+INDEX(Tactics!$J$5:$J$52,MATCH(E56,Tactics!$B$5:$B$52,0))*0.3+INDEX(Tactics!$H$5:$H$52,MATCH(E56,Tactics!$B$5:$B$52,0))*1.5,1)</f>
        <v>77.2</v>
      </c>
      <c r="H56" s="89" t="n">
        <f aca="false">F56-G56</f>
        <v>-6.5</v>
      </c>
      <c r="I56" s="42" t="n">
        <f aca="false">ROUND((1/(1+10^(-H56/15)))*(1-J56),3)</f>
        <v>0.155</v>
      </c>
      <c r="J56" s="42" t="n">
        <f aca="false">ROUND(MAX(0.19,0.56-ABS(H56)/48),3)</f>
        <v>0.425</v>
      </c>
      <c r="K56" s="42" t="n">
        <f aca="false">ROUND(1-I56-J56,3)</f>
        <v>0.42</v>
      </c>
      <c r="L56" s="90" t="str">
        <f aca="false">IF(AND(J56&gt;=I56,J56&gt;=K56),MAX(0,ROUND((AC56+AD56)/2,0))&amp;" - "&amp;MAX(0,ROUND((AC56+AD56)/2,0)),IF(I56&gt;=K56,MAX(ROUND(AC56+0.35,0),MAX(0,ROUND(AD56-0.15,0))+1)&amp;" - "&amp;MAX(0,ROUND(AD56-0.15,0)),MAX(0,ROUND(AC56-0.15,0))&amp;" - "&amp;MAX(ROUND(AD56+0.35,0),MAX(0,ROUND(AC56-0.15,0))+1)))</f>
        <v>2 - 2</v>
      </c>
      <c r="M56" s="60" t="str">
        <f aca="false">IF(AND(J56&gt;=I56,J56&gt;=K56),"Draw",IF(I56&gt;=K56,D56&amp;" win",E56&amp;" win"))</f>
        <v>Draw</v>
      </c>
      <c r="N56" s="42" t="n">
        <f aca="false">MAX(I56,J56,K56)</f>
        <v>0.425</v>
      </c>
      <c r="O56" s="41"/>
      <c r="P56" s="45"/>
      <c r="Q56" s="91"/>
      <c r="R56" s="91"/>
      <c r="S56" s="92" t="str">
        <f aca="false">IF(OR(Q56="",R56=""),"",IF(Q56&gt;R56,D56&amp;" win",IF(R56&gt;Q56,E56&amp;" win","Draw")))</f>
        <v/>
      </c>
      <c r="T56" s="92" t="str">
        <f aca="false">IF(U56="","",CHOOSE(MATCH(U56,{0,5,7,8,9,15},0),"Errou","Apenas Vencedor","Vencedor+Gols","Empate","Vencedor+Saldo","CRAVADA"))</f>
        <v/>
      </c>
      <c r="U56" s="93" t="str">
        <f aca="false">IF(OR(Q56="",R56=""),"",IF(AND(AA56=Q56,AB56=R56),15,IF(AND(AA56=AB56,Q56=R56),8,IF(AND(AA56&gt;AB56,Q56&gt;R56),IF((AA56-AB56)=(Q56-R56),9,IF(AA56=Q56,7,5)),IF(AND(AA56&lt;AB56,Q56&lt;R56),IF((AB56-AA56)=(R56-Q56),9,IF(AB56=R56,7,5)),0)))))</f>
        <v/>
      </c>
      <c r="AA56" s="1" t="n">
        <f aca="false">IFERROR(VALUE(LEFT(L56,FIND(" - ",L56)-1)),"")</f>
        <v>2</v>
      </c>
      <c r="AB56" s="1" t="n">
        <f aca="false">IFERROR(VALUE(MID(L56,FIND(" - ",L56)+3,10)),"")</f>
        <v>2</v>
      </c>
      <c r="AC56" s="1" t="n">
        <f aca="false">INDEX(Form_L20!$M$5:$M$52,MATCH(D56,Form_L20!$B$5:$B$52,0))*0.6+INDEX(Form_L20!$N$5:$N$52,MATCH(E56,Form_L20!$B$5:$B$52,0))*0.4</f>
        <v>1.6</v>
      </c>
      <c r="AD56" s="1" t="n">
        <f aca="false">INDEX(Form_L20!$M$5:$M$52,MATCH(E56,Form_L20!$B$5:$B$52,0))*0.6+INDEX(Form_L20!$N$5:$N$52,MATCH(D56,Form_L20!$B$5:$B$52,0))*0.4</f>
        <v>1.60666666666667</v>
      </c>
    </row>
    <row r="57" customFormat="false" ht="15" hidden="false" customHeight="true" outlineLevel="0" collapsed="false">
      <c r="A57" s="85" t="n">
        <v>52</v>
      </c>
      <c r="B57" s="85" t="s">
        <v>77</v>
      </c>
      <c r="C57" s="86" t="n">
        <v>46197</v>
      </c>
      <c r="D57" s="87" t="s">
        <v>79</v>
      </c>
      <c r="E57" s="87" t="s">
        <v>82</v>
      </c>
      <c r="F57" s="88" t="n">
        <f aca="false">ROUND((INDEX(Form_L20!$R$5:$R$52,MATCH(D57,Form_L20!$B$5:$B$52,0))*40+MIN(2,MAX(-2.5,INDEX(Form_L20!$M$5:$M$52,MATCH(D57,Form_L20!$B$5:$B$52,0))-INDEX(Form_L20!$N$5:$N$52,MATCH(D57,Form_L20!$B$5:$B$52,0))))*8+MIN(1.3,MAX(-0.7,1.3-INDEX(Form_L20!$N$5:$N$52,MATCH(D57,Form_L20!$B$5:$B$52,0))))*6)*INDEX(Form_L20!$Q$5:$Q$52,MATCH(D57,Form_L20!$B$5:$B$52,0))+INDEX(Tactics!$J$5:$J$52,MATCH(D57,Tactics!$B$5:$B$52,0))*0.3+INDEX(Tactics!$H$5:$H$52,MATCH(D57,Tactics!$B$5:$B$52,0))*1.5,1)</f>
        <v>72.3</v>
      </c>
      <c r="G57" s="88" t="n">
        <f aca="false">ROUND((INDEX(Form_L20!$R$5:$R$52,MATCH(E57,Form_L20!$B$5:$B$52,0))*40+MIN(2,MAX(-2.5,INDEX(Form_L20!$M$5:$M$52,MATCH(E57,Form_L20!$B$5:$B$52,0))-INDEX(Form_L20!$N$5:$N$52,MATCH(E57,Form_L20!$B$5:$B$52,0))))*8+MIN(1.3,MAX(-0.7,1.3-INDEX(Form_L20!$N$5:$N$52,MATCH(E57,Form_L20!$B$5:$B$52,0))))*6)*INDEX(Form_L20!$Q$5:$Q$52,MATCH(E57,Form_L20!$B$5:$B$52,0))+INDEX(Tactics!$J$5:$J$52,MATCH(E57,Tactics!$B$5:$B$52,0))*0.3+INDEX(Tactics!$H$5:$H$52,MATCH(E57,Tactics!$B$5:$B$52,0))*1.5,1)</f>
        <v>52.7</v>
      </c>
      <c r="H57" s="89" t="n">
        <f aca="false">F57-G57</f>
        <v>19.6</v>
      </c>
      <c r="I57" s="42" t="n">
        <f aca="false">ROUND((1/(1+10^(-H57/15)))*(1-J57),3)</f>
        <v>0.772</v>
      </c>
      <c r="J57" s="42" t="n">
        <f aca="false">ROUND(MAX(0.19,0.56-ABS(H57)/48),3)</f>
        <v>0.19</v>
      </c>
      <c r="K57" s="42" t="n">
        <f aca="false">ROUND(1-I57-J57,3)</f>
        <v>0.038</v>
      </c>
      <c r="L57" s="90" t="str">
        <f aca="false">IF(AND(J57&gt;=I57,J57&gt;=K57),MAX(0,ROUND((AC57+AD57)/2,0))&amp;" - "&amp;MAX(0,ROUND((AC57+AD57)/2,0)),IF(I57&gt;=K57,MAX(ROUND(AC57+0.35,0),MAX(0,ROUND(AD57-0.15,0))+1)&amp;" - "&amp;MAX(0,ROUND(AD57-0.15,0)),MAX(0,ROUND(AC57-0.15,0))&amp;" - "&amp;MAX(ROUND(AD57+0.35,0),MAX(0,ROUND(AC57-0.15,0))+1)))</f>
        <v>2 - 1</v>
      </c>
      <c r="M57" s="60" t="str">
        <f aca="false">IF(AND(J57&gt;=I57,J57&gt;=K57),"Draw",IF(I57&gt;=K57,D57&amp;" win",E57&amp;" win"))</f>
        <v>Morocco win</v>
      </c>
      <c r="N57" s="42" t="n">
        <f aca="false">MAX(I57,J57,K57)</f>
        <v>0.772</v>
      </c>
      <c r="O57" s="41"/>
      <c r="P57" s="45"/>
      <c r="Q57" s="91"/>
      <c r="R57" s="91"/>
      <c r="S57" s="92" t="str">
        <f aca="false">IF(OR(Q57="",R57=""),"",IF(Q57&gt;R57,D57&amp;" win",IF(R57&gt;Q57,E57&amp;" win","Draw")))</f>
        <v/>
      </c>
      <c r="T57" s="92" t="str">
        <f aca="false">IF(U57="","",CHOOSE(MATCH(U57,{0,5,7,8,9,15},0),"Errou","Apenas Vencedor","Vencedor+Gols","Empate","Vencedor+Saldo","CRAVADA"))</f>
        <v/>
      </c>
      <c r="U57" s="93" t="str">
        <f aca="false">IF(OR(Q57="",R57=""),"",IF(AND(AA57=Q57,AB57=R57),15,IF(AND(AA57=AB57,Q57=R57),8,IF(AND(AA57&gt;AB57,Q57&gt;R57),IF((AA57-AB57)=(Q57-R57),9,IF(AA57=Q57,7,5)),IF(AND(AA57&lt;AB57,Q57&lt;R57),IF((AB57-AA57)=(R57-Q57),9,IF(AB57=R57,7,5)),0)))))</f>
        <v/>
      </c>
      <c r="AA57" s="1" t="n">
        <f aca="false">IFERROR(VALUE(LEFT(L57,FIND(" - ",L57)-1)),"")</f>
        <v>2</v>
      </c>
      <c r="AB57" s="1" t="n">
        <f aca="false">IFERROR(VALUE(MID(L57,FIND(" - ",L57)+3,10)),"")</f>
        <v>1</v>
      </c>
      <c r="AC57" s="1" t="n">
        <f aca="false">INDEX(Form_L20!$M$5:$M$52,MATCH(D57,Form_L20!$B$5:$B$52,0))*0.6+INDEX(Form_L20!$N$5:$N$52,MATCH(E57,Form_L20!$B$5:$B$52,0))*0.4</f>
        <v>1.39</v>
      </c>
      <c r="AD57" s="1" t="n">
        <f aca="false">INDEX(Form_L20!$M$5:$M$52,MATCH(E57,Form_L20!$B$5:$B$52,0))*0.6+INDEX(Form_L20!$N$5:$N$52,MATCH(D57,Form_L20!$B$5:$B$52,0))*0.4</f>
        <v>1.18</v>
      </c>
    </row>
    <row r="58" customFormat="false" ht="15" hidden="false" customHeight="true" outlineLevel="0" collapsed="false">
      <c r="A58" s="85" t="n">
        <v>53</v>
      </c>
      <c r="B58" s="85" t="s">
        <v>55</v>
      </c>
      <c r="C58" s="86" t="n">
        <v>46197</v>
      </c>
      <c r="D58" s="87" t="s">
        <v>53</v>
      </c>
      <c r="E58" s="87" t="s">
        <v>63</v>
      </c>
      <c r="F58" s="88" t="n">
        <f aca="false">ROUND((INDEX(Form_L20!$R$5:$R$52,MATCH(D58,Form_L20!$B$5:$B$52,0))*40+MIN(2,MAX(-2.5,INDEX(Form_L20!$M$5:$M$52,MATCH(D58,Form_L20!$B$5:$B$52,0))-INDEX(Form_L20!$N$5:$N$52,MATCH(D58,Form_L20!$B$5:$B$52,0))))*8+MIN(1.3,MAX(-0.7,1.3-INDEX(Form_L20!$N$5:$N$52,MATCH(D58,Form_L20!$B$5:$B$52,0))))*6)*INDEX(Form_L20!$Q$5:$Q$52,MATCH(D58,Form_L20!$B$5:$B$52,0))+INDEX(Tactics!$J$5:$J$52,MATCH(D58,Tactics!$B$5:$B$52,0))*0.3+INDEX(Tactics!$H$5:$H$52,MATCH(D58,Tactics!$B$5:$B$52,0))*1.5,1)</f>
        <v>61.7</v>
      </c>
      <c r="G58" s="88" t="n">
        <f aca="false">ROUND((INDEX(Form_L20!$R$5:$R$52,MATCH(E58,Form_L20!$B$5:$B$52,0))*40+MIN(2,MAX(-2.5,INDEX(Form_L20!$M$5:$M$52,MATCH(E58,Form_L20!$B$5:$B$52,0))-INDEX(Form_L20!$N$5:$N$52,MATCH(E58,Form_L20!$B$5:$B$52,0))))*8+MIN(1.3,MAX(-0.7,1.3-INDEX(Form_L20!$N$5:$N$52,MATCH(E58,Form_L20!$B$5:$B$52,0))))*6)*INDEX(Form_L20!$Q$5:$Q$52,MATCH(E58,Form_L20!$B$5:$B$52,0))+INDEX(Tactics!$J$5:$J$52,MATCH(E58,Tactics!$B$5:$B$52,0))*0.3+INDEX(Tactics!$H$5:$H$52,MATCH(E58,Tactics!$B$5:$B$52,0))*1.5,1)</f>
        <v>66.1</v>
      </c>
      <c r="H58" s="89" t="n">
        <f aca="false">F58-G58</f>
        <v>-4.39999999999999</v>
      </c>
      <c r="I58" s="42" t="n">
        <f aca="false">ROUND((1/(1+10^(-H58/15)))*(1-J58),3)</f>
        <v>0.179</v>
      </c>
      <c r="J58" s="42" t="n">
        <f aca="false">ROUND(MAX(0.19,0.56-ABS(H58)/48),3)</f>
        <v>0.468</v>
      </c>
      <c r="K58" s="42" t="n">
        <f aca="false">ROUND(1-I58-J58,3)</f>
        <v>0.353</v>
      </c>
      <c r="L58" s="90" t="str">
        <f aca="false">IF(AND(J58&gt;=I58,J58&gt;=K58),MAX(0,ROUND((AC58+AD58)/2,0))&amp;" - "&amp;MAX(0,ROUND((AC58+AD58)/2,0)),IF(I58&gt;=K58,MAX(ROUND(AC58+0.35,0),MAX(0,ROUND(AD58-0.15,0))+1)&amp;" - "&amp;MAX(0,ROUND(AD58-0.15,0)),MAX(0,ROUND(AC58-0.15,0))&amp;" - "&amp;MAX(ROUND(AD58+0.35,0),MAX(0,ROUND(AC58-0.15,0))+1)))</f>
        <v>1 - 1</v>
      </c>
      <c r="M58" s="60" t="str">
        <f aca="false">IF(AND(J58&gt;=I58,J58&gt;=K58),"Draw",IF(I58&gt;=K58,D58&amp;" win",E58&amp;" win"))</f>
        <v>Draw</v>
      </c>
      <c r="N58" s="42" t="n">
        <f aca="false">MAX(I58,J58,K58)</f>
        <v>0.468</v>
      </c>
      <c r="O58" s="41"/>
      <c r="P58" s="45"/>
      <c r="Q58" s="91"/>
      <c r="R58" s="91"/>
      <c r="S58" s="92" t="str">
        <f aca="false">IF(OR(Q58="",R58=""),"",IF(Q58&gt;R58,D58&amp;" win",IF(R58&gt;Q58,E58&amp;" win","Draw")))</f>
        <v/>
      </c>
      <c r="T58" s="92" t="str">
        <f aca="false">IF(U58="","",CHOOSE(MATCH(U58,{0,5,7,8,9,15},0),"Errou","Apenas Vencedor","Vencedor+Gols","Empate","Vencedor+Saldo","CRAVADA"))</f>
        <v/>
      </c>
      <c r="U58" s="93" t="str">
        <f aca="false">IF(OR(Q58="",R58=""),"",IF(AND(AA58=Q58,AB58=R58),15,IF(AND(AA58=AB58,Q58=R58),8,IF(AND(AA58&gt;AB58,Q58&gt;R58),IF((AA58-AB58)=(Q58-R58),9,IF(AA58=Q58,7,5)),IF(AND(AA58&lt;AB58,Q58&lt;R58),IF((AB58-AA58)=(R58-Q58),9,IF(AB58=R58,7,5)),0)))))</f>
        <v/>
      </c>
      <c r="AA58" s="1" t="n">
        <f aca="false">IFERROR(VALUE(LEFT(L58,FIND(" - ",L58)-1)),"")</f>
        <v>1</v>
      </c>
      <c r="AB58" s="1" t="n">
        <f aca="false">IFERROR(VALUE(MID(L58,FIND(" - ",L58)+3,10)),"")</f>
        <v>1</v>
      </c>
      <c r="AC58" s="1" t="n">
        <f aca="false">INDEX(Form_L20!$M$5:$M$52,MATCH(D58,Form_L20!$B$5:$B$52,0))*0.6+INDEX(Form_L20!$N$5:$N$52,MATCH(E58,Form_L20!$B$5:$B$52,0))*0.4</f>
        <v>1.23652173913043</v>
      </c>
      <c r="AD58" s="1" t="n">
        <f aca="false">INDEX(Form_L20!$M$5:$M$52,MATCH(E58,Form_L20!$B$5:$B$52,0))*0.6+INDEX(Form_L20!$N$5:$N$52,MATCH(D58,Form_L20!$B$5:$B$52,0))*0.4</f>
        <v>1.61565217391304</v>
      </c>
    </row>
    <row r="59" customFormat="false" ht="15" hidden="false" customHeight="true" outlineLevel="0" collapsed="false">
      <c r="A59" s="85" t="n">
        <v>54</v>
      </c>
      <c r="B59" s="85" t="s">
        <v>55</v>
      </c>
      <c r="C59" s="86" t="n">
        <v>46197</v>
      </c>
      <c r="D59" s="87" t="s">
        <v>57</v>
      </c>
      <c r="E59" s="87" t="s">
        <v>60</v>
      </c>
      <c r="F59" s="88" t="n">
        <f aca="false">ROUND((INDEX(Form_L20!$R$5:$R$52,MATCH(D59,Form_L20!$B$5:$B$52,0))*40+MIN(2,MAX(-2.5,INDEX(Form_L20!$M$5:$M$52,MATCH(D59,Form_L20!$B$5:$B$52,0))-INDEX(Form_L20!$N$5:$N$52,MATCH(D59,Form_L20!$B$5:$B$52,0))))*8+MIN(1.3,MAX(-0.7,1.3-INDEX(Form_L20!$N$5:$N$52,MATCH(D59,Form_L20!$B$5:$B$52,0))))*6)*INDEX(Form_L20!$Q$5:$Q$52,MATCH(D59,Form_L20!$B$5:$B$52,0))+INDEX(Tactics!$J$5:$J$52,MATCH(D59,Tactics!$B$5:$B$52,0))*0.3+INDEX(Tactics!$H$5:$H$52,MATCH(D59,Tactics!$B$5:$B$52,0))*1.5,1)</f>
        <v>65.8</v>
      </c>
      <c r="G59" s="88" t="n">
        <f aca="false">ROUND((INDEX(Form_L20!$R$5:$R$52,MATCH(E59,Form_L20!$B$5:$B$52,0))*40+MIN(2,MAX(-2.5,INDEX(Form_L20!$M$5:$M$52,MATCH(E59,Form_L20!$B$5:$B$52,0))-INDEX(Form_L20!$N$5:$N$52,MATCH(E59,Form_L20!$B$5:$B$52,0))))*8+MIN(1.3,MAX(-0.7,1.3-INDEX(Form_L20!$N$5:$N$52,MATCH(E59,Form_L20!$B$5:$B$52,0))))*6)*INDEX(Form_L20!$Q$5:$Q$52,MATCH(E59,Form_L20!$B$5:$B$52,0))+INDEX(Tactics!$J$5:$J$52,MATCH(E59,Tactics!$B$5:$B$52,0))*0.3+INDEX(Tactics!$H$5:$H$52,MATCH(E59,Tactics!$B$5:$B$52,0))*1.5,1)</f>
        <v>55.2</v>
      </c>
      <c r="H59" s="89" t="n">
        <f aca="false">F59-G59</f>
        <v>10.6</v>
      </c>
      <c r="I59" s="42" t="n">
        <f aca="false">ROUND((1/(1+10^(-H59/15)))*(1-J59),3)</f>
        <v>0.552</v>
      </c>
      <c r="J59" s="42" t="n">
        <f aca="false">ROUND(MAX(0.19,0.56-ABS(H59)/48),3)</f>
        <v>0.339</v>
      </c>
      <c r="K59" s="42" t="n">
        <f aca="false">ROUND(1-I59-J59,3)</f>
        <v>0.109</v>
      </c>
      <c r="L59" s="90" t="str">
        <f aca="false">IF(AND(J59&gt;=I59,J59&gt;=K59),MAX(0,ROUND((AC59+AD59)/2,0))&amp;" - "&amp;MAX(0,ROUND((AC59+AD59)/2,0)),IF(I59&gt;=K59,MAX(ROUND(AC59+0.35,0),MAX(0,ROUND(AD59-0.15,0))+1)&amp;" - "&amp;MAX(0,ROUND(AD59-0.15,0)),MAX(0,ROUND(AC59-0.15,0))&amp;" - "&amp;MAX(ROUND(AD59+0.35,0),MAX(0,ROUND(AC59-0.15,0))+1)))</f>
        <v>2 - 1</v>
      </c>
      <c r="M59" s="60" t="str">
        <f aca="false">IF(AND(J59&gt;=I59,J59&gt;=K59),"Draw",IF(I59&gt;=K59,D59&amp;" win",E59&amp;" win"))</f>
        <v>South Korea win</v>
      </c>
      <c r="N59" s="42" t="n">
        <f aca="false">MAX(I59,J59,K59)</f>
        <v>0.552</v>
      </c>
      <c r="O59" s="41"/>
      <c r="P59" s="45"/>
      <c r="Q59" s="91"/>
      <c r="R59" s="91"/>
      <c r="S59" s="92" t="str">
        <f aca="false">IF(OR(Q59="",R59=""),"",IF(Q59&gt;R59,D59&amp;" win",IF(R59&gt;Q59,E59&amp;" win","Draw")))</f>
        <v/>
      </c>
      <c r="T59" s="92" t="str">
        <f aca="false">IF(U59="","",CHOOSE(MATCH(U59,{0,5,7,8,9,15},0),"Errou","Apenas Vencedor","Vencedor+Gols","Empate","Vencedor+Saldo","CRAVADA"))</f>
        <v/>
      </c>
      <c r="U59" s="93" t="str">
        <f aca="false">IF(OR(Q59="",R59=""),"",IF(AND(AA59=Q59,AB59=R59),15,IF(AND(AA59=AB59,Q59=R59),8,IF(AND(AA59&gt;AB59,Q59&gt;R59),IF((AA59-AB59)=(Q59-R59),9,IF(AA59=Q59,7,5)),IF(AND(AA59&lt;AB59,Q59&lt;R59),IF((AB59-AA59)=(R59-Q59),9,IF(AB59=R59,7,5)),0)))))</f>
        <v/>
      </c>
      <c r="AA59" s="1" t="n">
        <f aca="false">IFERROR(VALUE(LEFT(L59,FIND(" - ",L59)-1)),"")</f>
        <v>2</v>
      </c>
      <c r="AB59" s="1" t="n">
        <f aca="false">IFERROR(VALUE(MID(L59,FIND(" - ",L59)+3,10)),"")</f>
        <v>1</v>
      </c>
      <c r="AC59" s="1" t="n">
        <f aca="false">INDEX(Form_L20!$M$5:$M$52,MATCH(D59,Form_L20!$B$5:$B$52,0))*0.6+INDEX(Form_L20!$N$5:$N$52,MATCH(E59,Form_L20!$B$5:$B$52,0))*0.4</f>
        <v>1.68</v>
      </c>
      <c r="AD59" s="1" t="n">
        <f aca="false">INDEX(Form_L20!$M$5:$M$52,MATCH(E59,Form_L20!$B$5:$B$52,0))*0.6+INDEX(Form_L20!$N$5:$N$52,MATCH(D59,Form_L20!$B$5:$B$52,0))*0.4</f>
        <v>1.38</v>
      </c>
    </row>
    <row r="60" customFormat="false" ht="15" hidden="false" customHeight="true" outlineLevel="0" collapsed="false">
      <c r="A60" s="85" t="n">
        <v>55</v>
      </c>
      <c r="B60" s="85" t="s">
        <v>94</v>
      </c>
      <c r="C60" s="86" t="n">
        <v>46198</v>
      </c>
      <c r="D60" s="87" t="s">
        <v>96</v>
      </c>
      <c r="E60" s="87" t="s">
        <v>93</v>
      </c>
      <c r="F60" s="88" t="n">
        <f aca="false">ROUND((INDEX(Form_L20!$R$5:$R$52,MATCH(D60,Form_L20!$B$5:$B$52,0))*40+MIN(2,MAX(-2.5,INDEX(Form_L20!$M$5:$M$52,MATCH(D60,Form_L20!$B$5:$B$52,0))-INDEX(Form_L20!$N$5:$N$52,MATCH(D60,Form_L20!$B$5:$B$52,0))))*8+MIN(1.3,MAX(-0.7,1.3-INDEX(Form_L20!$N$5:$N$52,MATCH(D60,Form_L20!$B$5:$B$52,0))))*6)*INDEX(Form_L20!$Q$5:$Q$52,MATCH(D60,Form_L20!$B$5:$B$52,0))+INDEX(Tactics!$J$5:$J$52,MATCH(D60,Tactics!$B$5:$B$52,0))*0.3+INDEX(Tactics!$H$5:$H$52,MATCH(D60,Tactics!$B$5:$B$52,0))*1.5,1)</f>
        <v>72.4</v>
      </c>
      <c r="G60" s="88" t="n">
        <f aca="false">ROUND((INDEX(Form_L20!$R$5:$R$52,MATCH(E60,Form_L20!$B$5:$B$52,0))*40+MIN(2,MAX(-2.5,INDEX(Form_L20!$M$5:$M$52,MATCH(E60,Form_L20!$B$5:$B$52,0))-INDEX(Form_L20!$N$5:$N$52,MATCH(E60,Form_L20!$B$5:$B$52,0))))*8+MIN(1.3,MAX(-0.7,1.3-INDEX(Form_L20!$N$5:$N$52,MATCH(E60,Form_L20!$B$5:$B$52,0))))*6)*INDEX(Form_L20!$Q$5:$Q$52,MATCH(E60,Form_L20!$B$5:$B$52,0))+INDEX(Tactics!$J$5:$J$52,MATCH(E60,Tactics!$B$5:$B$52,0))*0.3+INDEX(Tactics!$H$5:$H$52,MATCH(E60,Tactics!$B$5:$B$52,0))*1.5,1)</f>
        <v>78.7</v>
      </c>
      <c r="H60" s="89" t="n">
        <f aca="false">F60-G60</f>
        <v>-6.3</v>
      </c>
      <c r="I60" s="42" t="n">
        <f aca="false">ROUND((1/(1+10^(-H60/15)))*(1-J60),3)</f>
        <v>0.157</v>
      </c>
      <c r="J60" s="42" t="n">
        <f aca="false">ROUND(MAX(0.19,0.56-ABS(H60)/48),3)</f>
        <v>0.429</v>
      </c>
      <c r="K60" s="42" t="n">
        <f aca="false">ROUND(1-I60-J60,3)</f>
        <v>0.414</v>
      </c>
      <c r="L60" s="90" t="str">
        <f aca="false">IF(AND(J60&gt;=I60,J60&gt;=K60),MAX(0,ROUND((AC60+AD60)/2,0))&amp;" - "&amp;MAX(0,ROUND((AC60+AD60)/2,0)),IF(I60&gt;=K60,MAX(ROUND(AC60+0.35,0),MAX(0,ROUND(AD60-0.15,0))+1)&amp;" - "&amp;MAX(0,ROUND(AD60-0.15,0)),MAX(0,ROUND(AC60-0.15,0))&amp;" - "&amp;MAX(ROUND(AD60+0.35,0),MAX(0,ROUND(AC60-0.15,0))+1)))</f>
        <v>1 - 1</v>
      </c>
      <c r="M60" s="60" t="str">
        <f aca="false">IF(AND(J60&gt;=I60,J60&gt;=K60),"Draw",IF(I60&gt;=K60,D60&amp;" win",E60&amp;" win"))</f>
        <v>Draw</v>
      </c>
      <c r="N60" s="42" t="n">
        <f aca="false">MAX(I60,J60,K60)</f>
        <v>0.429</v>
      </c>
      <c r="O60" s="41"/>
      <c r="P60" s="45"/>
      <c r="Q60" s="91"/>
      <c r="R60" s="91"/>
      <c r="S60" s="92" t="str">
        <f aca="false">IF(OR(Q60="",R60=""),"",IF(Q60&gt;R60,D60&amp;" win",IF(R60&gt;Q60,E60&amp;" win","Draw")))</f>
        <v/>
      </c>
      <c r="T60" s="92" t="str">
        <f aca="false">IF(U60="","",CHOOSE(MATCH(U60,{0,5,7,8,9,15},0),"Errou","Apenas Vencedor","Vencedor+Gols","Empate","Vencedor+Saldo","CRAVADA"))</f>
        <v/>
      </c>
      <c r="U60" s="93" t="str">
        <f aca="false">IF(OR(Q60="",R60=""),"",IF(AND(AA60=Q60,AB60=R60),15,IF(AND(AA60=AB60,Q60=R60),8,IF(AND(AA60&gt;AB60,Q60&gt;R60),IF((AA60-AB60)=(Q60-R60),9,IF(AA60=Q60,7,5)),IF(AND(AA60&lt;AB60,Q60&lt;R60),IF((AB60-AA60)=(R60-Q60),9,IF(AB60=R60,7,5)),0)))))</f>
        <v/>
      </c>
      <c r="AA60" s="1" t="n">
        <f aca="false">IFERROR(VALUE(LEFT(L60,FIND(" - ",L60)-1)),"")</f>
        <v>1</v>
      </c>
      <c r="AB60" s="1" t="n">
        <f aca="false">IFERROR(VALUE(MID(L60,FIND(" - ",L60)+3,10)),"")</f>
        <v>1</v>
      </c>
      <c r="AC60" s="1" t="n">
        <f aca="false">INDEX(Form_L20!$M$5:$M$52,MATCH(D60,Form_L20!$B$5:$B$52,0))*0.6+INDEX(Form_L20!$N$5:$N$52,MATCH(E60,Form_L20!$B$5:$B$52,0))*0.4</f>
        <v>0.806666666666667</v>
      </c>
      <c r="AD60" s="1" t="n">
        <f aca="false">INDEX(Form_L20!$M$5:$M$52,MATCH(E60,Form_L20!$B$5:$B$52,0))*0.6+INDEX(Form_L20!$N$5:$N$52,MATCH(D60,Form_L20!$B$5:$B$52,0))*0.4</f>
        <v>1.31111111111111</v>
      </c>
    </row>
    <row r="61" customFormat="false" ht="15" hidden="false" customHeight="true" outlineLevel="0" collapsed="false">
      <c r="A61" s="85" t="n">
        <v>56</v>
      </c>
      <c r="B61" s="85" t="s">
        <v>94</v>
      </c>
      <c r="C61" s="86" t="n">
        <v>46198</v>
      </c>
      <c r="D61" s="87" t="s">
        <v>99</v>
      </c>
      <c r="E61" s="87" t="s">
        <v>98</v>
      </c>
      <c r="F61" s="88" t="n">
        <f aca="false">ROUND((INDEX(Form_L20!$R$5:$R$52,MATCH(D61,Form_L20!$B$5:$B$52,0))*40+MIN(2,MAX(-2.5,INDEX(Form_L20!$M$5:$M$52,MATCH(D61,Form_L20!$B$5:$B$52,0))-INDEX(Form_L20!$N$5:$N$52,MATCH(D61,Form_L20!$B$5:$B$52,0))))*8+MIN(1.3,MAX(-0.7,1.3-INDEX(Form_L20!$N$5:$N$52,MATCH(D61,Form_L20!$B$5:$B$52,0))))*6)*INDEX(Form_L20!$Q$5:$Q$52,MATCH(D61,Form_L20!$B$5:$B$52,0))+INDEX(Tactics!$J$5:$J$52,MATCH(D61,Tactics!$B$5:$B$52,0))*0.3+INDEX(Tactics!$H$5:$H$52,MATCH(D61,Tactics!$B$5:$B$52,0))*1.5,1)</f>
        <v>63.8</v>
      </c>
      <c r="G61" s="88" t="n">
        <f aca="false">ROUND((INDEX(Form_L20!$R$5:$R$52,MATCH(E61,Form_L20!$B$5:$B$52,0))*40+MIN(2,MAX(-2.5,INDEX(Form_L20!$M$5:$M$52,MATCH(E61,Form_L20!$B$5:$B$52,0))-INDEX(Form_L20!$N$5:$N$52,MATCH(E61,Form_L20!$B$5:$B$52,0))))*8+MIN(1.3,MAX(-0.7,1.3-INDEX(Form_L20!$N$5:$N$52,MATCH(E61,Form_L20!$B$5:$B$52,0))))*6)*INDEX(Form_L20!$Q$5:$Q$52,MATCH(E61,Form_L20!$B$5:$B$52,0))+INDEX(Tactics!$J$5:$J$52,MATCH(E61,Tactics!$B$5:$B$52,0))*0.3+INDEX(Tactics!$H$5:$H$52,MATCH(E61,Tactics!$B$5:$B$52,0))*1.5,1)</f>
        <v>81.6</v>
      </c>
      <c r="H61" s="89" t="n">
        <f aca="false">F61-G61</f>
        <v>-17.8</v>
      </c>
      <c r="I61" s="42" t="n">
        <f aca="false">ROUND((1/(1+10^(-H61/15)))*(1-J61),3)</f>
        <v>0.049</v>
      </c>
      <c r="J61" s="42" t="n">
        <f aca="false">ROUND(MAX(0.19,0.56-ABS(H61)/48),3)</f>
        <v>0.19</v>
      </c>
      <c r="K61" s="42" t="n">
        <f aca="false">ROUND(1-I61-J61,3)</f>
        <v>0.761</v>
      </c>
      <c r="L61" s="90" t="str">
        <f aca="false">IF(AND(J61&gt;=I61,J61&gt;=K61),MAX(0,ROUND((AC61+AD61)/2,0))&amp;" - "&amp;MAX(0,ROUND((AC61+AD61)/2,0)),IF(I61&gt;=K61,MAX(ROUND(AC61+0.35,0),MAX(0,ROUND(AD61-0.15,0))+1)&amp;" - "&amp;MAX(0,ROUND(AD61-0.15,0)),MAX(0,ROUND(AC61-0.15,0))&amp;" - "&amp;MAX(ROUND(AD61+0.35,0),MAX(0,ROUND(AC61-0.15,0))+1)))</f>
        <v>1 - 2</v>
      </c>
      <c r="M61" s="60" t="str">
        <f aca="false">IF(AND(J61&gt;=I61,J61&gt;=K61),"Draw",IF(I61&gt;=K61,D61&amp;" win",E61&amp;" win"))</f>
        <v>Ivory Coast win</v>
      </c>
      <c r="N61" s="42" t="n">
        <f aca="false">MAX(I61,J61,K61)</f>
        <v>0.761</v>
      </c>
      <c r="O61" s="41"/>
      <c r="P61" s="45"/>
      <c r="Q61" s="91"/>
      <c r="R61" s="91"/>
      <c r="S61" s="92" t="str">
        <f aca="false">IF(OR(Q61="",R61=""),"",IF(Q61&gt;R61,D61&amp;" win",IF(R61&gt;Q61,E61&amp;" win","Draw")))</f>
        <v/>
      </c>
      <c r="T61" s="92" t="str">
        <f aca="false">IF(U61="","",CHOOSE(MATCH(U61,{0,5,7,8,9,15},0),"Errou","Apenas Vencedor","Vencedor+Gols","Empate","Vencedor+Saldo","CRAVADA"))</f>
        <v/>
      </c>
      <c r="U61" s="93" t="str">
        <f aca="false">IF(OR(Q61="",R61=""),"",IF(AND(AA61=Q61,AB61=R61),15,IF(AND(AA61=AB61,Q61=R61),8,IF(AND(AA61&gt;AB61,Q61&gt;R61),IF((AA61-AB61)=(Q61-R61),9,IF(AA61=Q61,7,5)),IF(AND(AA61&lt;AB61,Q61&lt;R61),IF((AB61-AA61)=(R61-Q61),9,IF(AB61=R61,7,5)),0)))))</f>
        <v/>
      </c>
      <c r="AA61" s="1" t="n">
        <f aca="false">IFERROR(VALUE(LEFT(L61,FIND(" - ",L61)-1)),"")</f>
        <v>1</v>
      </c>
      <c r="AB61" s="1" t="n">
        <f aca="false">IFERROR(VALUE(MID(L61,FIND(" - ",L61)+3,10)),"")</f>
        <v>2</v>
      </c>
      <c r="AC61" s="1" t="n">
        <f aca="false">INDEX(Form_L20!$M$5:$M$52,MATCH(D61,Form_L20!$B$5:$B$52,0))*0.6+INDEX(Form_L20!$N$5:$N$52,MATCH(E61,Form_L20!$B$5:$B$52,0))*0.4</f>
        <v>1.3</v>
      </c>
      <c r="AD61" s="1" t="n">
        <f aca="false">INDEX(Form_L20!$M$5:$M$52,MATCH(E61,Form_L20!$B$5:$B$52,0))*0.6+INDEX(Form_L20!$N$5:$N$52,MATCH(D61,Form_L20!$B$5:$B$52,0))*0.4</f>
        <v>1.7</v>
      </c>
    </row>
    <row r="62" customFormat="false" ht="15" hidden="false" customHeight="true" outlineLevel="0" collapsed="false">
      <c r="A62" s="85" t="n">
        <v>57</v>
      </c>
      <c r="B62" s="85" t="s">
        <v>102</v>
      </c>
      <c r="C62" s="86" t="n">
        <v>46198</v>
      </c>
      <c r="D62" s="87" t="s">
        <v>106</v>
      </c>
      <c r="E62" s="87" t="s">
        <v>101</v>
      </c>
      <c r="F62" s="88" t="n">
        <f aca="false">ROUND((INDEX(Form_L20!$R$5:$R$52,MATCH(D62,Form_L20!$B$5:$B$52,0))*40+MIN(2,MAX(-2.5,INDEX(Form_L20!$M$5:$M$52,MATCH(D62,Form_L20!$B$5:$B$52,0))-INDEX(Form_L20!$N$5:$N$52,MATCH(D62,Form_L20!$B$5:$B$52,0))))*8+MIN(1.3,MAX(-0.7,1.3-INDEX(Form_L20!$N$5:$N$52,MATCH(D62,Form_L20!$B$5:$B$52,0))))*6)*INDEX(Form_L20!$Q$5:$Q$52,MATCH(D62,Form_L20!$B$5:$B$52,0))+INDEX(Tactics!$J$5:$J$52,MATCH(D62,Tactics!$B$5:$B$52,0))*0.3+INDEX(Tactics!$H$5:$H$52,MATCH(D62,Tactics!$B$5:$B$52,0))*1.5,1)</f>
        <v>76.1</v>
      </c>
      <c r="G62" s="88" t="n">
        <f aca="false">ROUND((INDEX(Form_L20!$R$5:$R$52,MATCH(E62,Form_L20!$B$5:$B$52,0))*40+MIN(2,MAX(-2.5,INDEX(Form_L20!$M$5:$M$52,MATCH(E62,Form_L20!$B$5:$B$52,0))-INDEX(Form_L20!$N$5:$N$52,MATCH(E62,Form_L20!$B$5:$B$52,0))))*8+MIN(1.3,MAX(-0.7,1.3-INDEX(Form_L20!$N$5:$N$52,MATCH(E62,Form_L20!$B$5:$B$52,0))))*6)*INDEX(Form_L20!$Q$5:$Q$52,MATCH(E62,Form_L20!$B$5:$B$52,0))+INDEX(Tactics!$J$5:$J$52,MATCH(E62,Tactics!$B$5:$B$52,0))*0.3+INDEX(Tactics!$H$5:$H$52,MATCH(E62,Tactics!$B$5:$B$52,0))*1.5,1)</f>
        <v>80.4</v>
      </c>
      <c r="H62" s="89" t="n">
        <f aca="false">F62-G62</f>
        <v>-4.30000000000001</v>
      </c>
      <c r="I62" s="42" t="n">
        <f aca="false">ROUND((1/(1+10^(-H62/15)))*(1-J62),3)</f>
        <v>0.181</v>
      </c>
      <c r="J62" s="42" t="n">
        <f aca="false">ROUND(MAX(0.19,0.56-ABS(H62)/48),3)</f>
        <v>0.47</v>
      </c>
      <c r="K62" s="42" t="n">
        <f aca="false">ROUND(1-I62-J62,3)</f>
        <v>0.349</v>
      </c>
      <c r="L62" s="90" t="str">
        <f aca="false">IF(AND(J62&gt;=I62,J62&gt;=K62),MAX(0,ROUND((AC62+AD62)/2,0))&amp;" - "&amp;MAX(0,ROUND((AC62+AD62)/2,0)),IF(I62&gt;=K62,MAX(ROUND(AC62+0.35,0),MAX(0,ROUND(AD62-0.15,0))+1)&amp;" - "&amp;MAX(0,ROUND(AD62-0.15,0)),MAX(0,ROUND(AC62-0.15,0))&amp;" - "&amp;MAX(ROUND(AD62+0.35,0),MAX(0,ROUND(AC62-0.15,0))+1)))</f>
        <v>1 - 1</v>
      </c>
      <c r="M62" s="60" t="str">
        <f aca="false">IF(AND(J62&gt;=I62,J62&gt;=K62),"Draw",IF(I62&gt;=K62,D62&amp;" win",E62&amp;" win"))</f>
        <v>Draw</v>
      </c>
      <c r="N62" s="42" t="n">
        <f aca="false">MAX(I62,J62,K62)</f>
        <v>0.47</v>
      </c>
      <c r="O62" s="41"/>
      <c r="P62" s="45"/>
      <c r="Q62" s="91"/>
      <c r="R62" s="91"/>
      <c r="S62" s="92" t="str">
        <f aca="false">IF(OR(Q62="",R62=""),"",IF(Q62&gt;R62,D62&amp;" win",IF(R62&gt;Q62,E62&amp;" win","Draw")))</f>
        <v/>
      </c>
      <c r="T62" s="92" t="str">
        <f aca="false">IF(U62="","",CHOOSE(MATCH(U62,{0,5,7,8,9,15},0),"Errou","Apenas Vencedor","Vencedor+Gols","Empate","Vencedor+Saldo","CRAVADA"))</f>
        <v/>
      </c>
      <c r="U62" s="93" t="str">
        <f aca="false">IF(OR(Q62="",R62=""),"",IF(AND(AA62=Q62,AB62=R62),15,IF(AND(AA62=AB62,Q62=R62),8,IF(AND(AA62&gt;AB62,Q62&gt;R62),IF((AA62-AB62)=(Q62-R62),9,IF(AA62=Q62,7,5)),IF(AND(AA62&lt;AB62,Q62&lt;R62),IF((AB62-AA62)=(R62-Q62),9,IF(AB62=R62,7,5)),0)))))</f>
        <v/>
      </c>
      <c r="AA62" s="1" t="n">
        <f aca="false">IFERROR(VALUE(LEFT(L62,FIND(" - ",L62)-1)),"")</f>
        <v>1</v>
      </c>
      <c r="AB62" s="1" t="n">
        <f aca="false">IFERROR(VALUE(MID(L62,FIND(" - ",L62)+3,10)),"")</f>
        <v>1</v>
      </c>
      <c r="AC62" s="1" t="n">
        <f aca="false">INDEX(Form_L20!$M$5:$M$52,MATCH(D62,Form_L20!$B$5:$B$52,0))*0.6+INDEX(Form_L20!$N$5:$N$52,MATCH(E62,Form_L20!$B$5:$B$52,0))*0.4</f>
        <v>1.64</v>
      </c>
      <c r="AD62" s="1" t="n">
        <f aca="false">INDEX(Form_L20!$M$5:$M$52,MATCH(E62,Form_L20!$B$5:$B$52,0))*0.6+INDEX(Form_L20!$N$5:$N$52,MATCH(D62,Form_L20!$B$5:$B$52,0))*0.4</f>
        <v>1.23</v>
      </c>
    </row>
    <row r="63" customFormat="false" ht="15" hidden="false" customHeight="true" outlineLevel="0" collapsed="false">
      <c r="A63" s="85" t="n">
        <v>58</v>
      </c>
      <c r="B63" s="85" t="s">
        <v>102</v>
      </c>
      <c r="C63" s="86" t="n">
        <v>46198</v>
      </c>
      <c r="D63" s="87" t="s">
        <v>104</v>
      </c>
      <c r="E63" s="87" t="s">
        <v>107</v>
      </c>
      <c r="F63" s="88" t="n">
        <f aca="false">ROUND((INDEX(Form_L20!$R$5:$R$52,MATCH(D63,Form_L20!$B$5:$B$52,0))*40+MIN(2,MAX(-2.5,INDEX(Form_L20!$M$5:$M$52,MATCH(D63,Form_L20!$B$5:$B$52,0))-INDEX(Form_L20!$N$5:$N$52,MATCH(D63,Form_L20!$B$5:$B$52,0))))*8+MIN(1.3,MAX(-0.7,1.3-INDEX(Form_L20!$N$5:$N$52,MATCH(D63,Form_L20!$B$5:$B$52,0))))*6)*INDEX(Form_L20!$Q$5:$Q$52,MATCH(D63,Form_L20!$B$5:$B$52,0))+INDEX(Tactics!$J$5:$J$52,MATCH(D63,Tactics!$B$5:$B$52,0))*0.3+INDEX(Tactics!$H$5:$H$52,MATCH(D63,Tactics!$B$5:$B$52,0))*1.5,1)</f>
        <v>76.5</v>
      </c>
      <c r="G63" s="88" t="n">
        <f aca="false">ROUND((INDEX(Form_L20!$R$5:$R$52,MATCH(E63,Form_L20!$B$5:$B$52,0))*40+MIN(2,MAX(-2.5,INDEX(Form_L20!$M$5:$M$52,MATCH(E63,Form_L20!$B$5:$B$52,0))-INDEX(Form_L20!$N$5:$N$52,MATCH(E63,Form_L20!$B$5:$B$52,0))))*8+MIN(1.3,MAX(-0.7,1.3-INDEX(Form_L20!$N$5:$N$52,MATCH(E63,Form_L20!$B$5:$B$52,0))))*6)*INDEX(Form_L20!$Q$5:$Q$52,MATCH(E63,Form_L20!$B$5:$B$52,0))+INDEX(Tactics!$J$5:$J$52,MATCH(E63,Tactics!$B$5:$B$52,0))*0.3+INDEX(Tactics!$H$5:$H$52,MATCH(E63,Tactics!$B$5:$B$52,0))*1.5,1)</f>
        <v>37.1</v>
      </c>
      <c r="H63" s="89" t="n">
        <f aca="false">F63-G63</f>
        <v>39.4</v>
      </c>
      <c r="I63" s="42" t="n">
        <f aca="false">ROUND((1/(1+10^(-H63/15)))*(1-J63),3)</f>
        <v>0.808</v>
      </c>
      <c r="J63" s="42" t="n">
        <f aca="false">ROUND(MAX(0.19,0.56-ABS(H63)/48),3)</f>
        <v>0.19</v>
      </c>
      <c r="K63" s="42" t="n">
        <f aca="false">ROUND(1-I63-J63,3)</f>
        <v>0.002</v>
      </c>
      <c r="L63" s="90" t="str">
        <f aca="false">IF(AND(J63&gt;=I63,J63&gt;=K63),MAX(0,ROUND((AC63+AD63)/2,0))&amp;" - "&amp;MAX(0,ROUND((AC63+AD63)/2,0)),IF(I63&gt;=K63,MAX(ROUND(AC63+0.35,0),MAX(0,ROUND(AD63-0.15,0))+1)&amp;" - "&amp;MAX(0,ROUND(AD63-0.15,0)),MAX(0,ROUND(AC63-0.15,0))&amp;" - "&amp;MAX(ROUND(AD63+0.35,0),MAX(0,ROUND(AC63-0.15,0))+1)))</f>
        <v>3 - 1</v>
      </c>
      <c r="M63" s="60" t="str">
        <f aca="false">IF(AND(J63&gt;=I63,J63&gt;=K63),"Draw",IF(I63&gt;=K63,D63&amp;" win",E63&amp;" win"))</f>
        <v>Japan win</v>
      </c>
      <c r="N63" s="42" t="n">
        <f aca="false">MAX(I63,J63,K63)</f>
        <v>0.808</v>
      </c>
      <c r="O63" s="41"/>
      <c r="P63" s="45"/>
      <c r="Q63" s="91"/>
      <c r="R63" s="91"/>
      <c r="S63" s="92" t="str">
        <f aca="false">IF(OR(Q63="",R63=""),"",IF(Q63&gt;R63,D63&amp;" win",IF(R63&gt;Q63,E63&amp;" win","Draw")))</f>
        <v/>
      </c>
      <c r="T63" s="92" t="str">
        <f aca="false">IF(U63="","",CHOOSE(MATCH(U63,{0,5,7,8,9,15},0),"Errou","Apenas Vencedor","Vencedor+Gols","Empate","Vencedor+Saldo","CRAVADA"))</f>
        <v/>
      </c>
      <c r="U63" s="93" t="str">
        <f aca="false">IF(OR(Q63="",R63=""),"",IF(AND(AA63=Q63,AB63=R63),15,IF(AND(AA63=AB63,Q63=R63),8,IF(AND(AA63&gt;AB63,Q63&gt;R63),IF((AA63-AB63)=(Q63-R63),9,IF(AA63=Q63,7,5)),IF(AND(AA63&lt;AB63,Q63&lt;R63),IF((AB63-AA63)=(R63-Q63),9,IF(AB63=R63,7,5)),0)))))</f>
        <v/>
      </c>
      <c r="AA63" s="1" t="n">
        <f aca="false">IFERROR(VALUE(LEFT(L63,FIND(" - ",L63)-1)),"")</f>
        <v>3</v>
      </c>
      <c r="AB63" s="1" t="n">
        <f aca="false">IFERROR(VALUE(MID(L63,FIND(" - ",L63)+3,10)),"")</f>
        <v>1</v>
      </c>
      <c r="AC63" s="1" t="n">
        <f aca="false">INDEX(Form_L20!$M$5:$M$52,MATCH(D63,Form_L20!$B$5:$B$52,0))*0.6+INDEX(Form_L20!$N$5:$N$52,MATCH(E63,Form_L20!$B$5:$B$52,0))*0.4</f>
        <v>2.2875</v>
      </c>
      <c r="AD63" s="1" t="n">
        <f aca="false">INDEX(Form_L20!$M$5:$M$52,MATCH(E63,Form_L20!$B$5:$B$52,0))*0.6+INDEX(Form_L20!$N$5:$N$52,MATCH(D63,Form_L20!$B$5:$B$52,0))*0.4</f>
        <v>1</v>
      </c>
    </row>
    <row r="64" customFormat="false" ht="15" hidden="false" customHeight="true" outlineLevel="0" collapsed="false">
      <c r="A64" s="85" t="n">
        <v>59</v>
      </c>
      <c r="B64" s="85" t="s">
        <v>85</v>
      </c>
      <c r="C64" s="86" t="n">
        <v>46198</v>
      </c>
      <c r="D64" s="87" t="s">
        <v>84</v>
      </c>
      <c r="E64" s="87" t="s">
        <v>91</v>
      </c>
      <c r="F64" s="88" t="n">
        <f aca="false">ROUND((INDEX(Form_L20!$R$5:$R$52,MATCH(D64,Form_L20!$B$5:$B$52,0))*40+MIN(2,MAX(-2.5,INDEX(Form_L20!$M$5:$M$52,MATCH(D64,Form_L20!$B$5:$B$52,0))-INDEX(Form_L20!$N$5:$N$52,MATCH(D64,Form_L20!$B$5:$B$52,0))))*8+MIN(1.3,MAX(-0.7,1.3-INDEX(Form_L20!$N$5:$N$52,MATCH(D64,Form_L20!$B$5:$B$52,0))))*6)*INDEX(Form_L20!$Q$5:$Q$52,MATCH(D64,Form_L20!$B$5:$B$52,0))+INDEX(Tactics!$J$5:$J$52,MATCH(D64,Tactics!$B$5:$B$52,0))*0.3+INDEX(Tactics!$H$5:$H$52,MATCH(D64,Tactics!$B$5:$B$52,0))*1.5,1)</f>
        <v>55.1</v>
      </c>
      <c r="G64" s="88" t="n">
        <f aca="false">ROUND((INDEX(Form_L20!$R$5:$R$52,MATCH(E64,Form_L20!$B$5:$B$52,0))*40+MIN(2,MAX(-2.5,INDEX(Form_L20!$M$5:$M$52,MATCH(E64,Form_L20!$B$5:$B$52,0))-INDEX(Form_L20!$N$5:$N$52,MATCH(E64,Form_L20!$B$5:$B$52,0))))*8+MIN(1.3,MAX(-0.7,1.3-INDEX(Form_L20!$N$5:$N$52,MATCH(E64,Form_L20!$B$5:$B$52,0))))*6)*INDEX(Form_L20!$Q$5:$Q$52,MATCH(E64,Form_L20!$B$5:$B$52,0))+INDEX(Tactics!$J$5:$J$52,MATCH(E64,Tactics!$B$5:$B$52,0))*0.3+INDEX(Tactics!$H$5:$H$52,MATCH(E64,Tactics!$B$5:$B$52,0))*1.5,1)</f>
        <v>71.1</v>
      </c>
      <c r="H64" s="89" t="n">
        <f aca="false">F64-G64</f>
        <v>-16</v>
      </c>
      <c r="I64" s="42" t="n">
        <f aca="false">ROUND((1/(1+10^(-H64/15)))*(1-J64),3)</f>
        <v>0.061</v>
      </c>
      <c r="J64" s="42" t="n">
        <f aca="false">ROUND(MAX(0.19,0.56-ABS(H64)/48),3)</f>
        <v>0.227</v>
      </c>
      <c r="K64" s="42" t="n">
        <f aca="false">ROUND(1-I64-J64,3)</f>
        <v>0.712</v>
      </c>
      <c r="L64" s="90" t="str">
        <f aca="false">IF(AND(J64&gt;=I64,J64&gt;=K64),MAX(0,ROUND((AC64+AD64)/2,0))&amp;" - "&amp;MAX(0,ROUND((AC64+AD64)/2,0)),IF(I64&gt;=K64,MAX(ROUND(AC64+0.35,0),MAX(0,ROUND(AD64-0.15,0))+1)&amp;" - "&amp;MAX(0,ROUND(AD64-0.15,0)),MAX(0,ROUND(AC64-0.15,0))&amp;" - "&amp;MAX(ROUND(AD64+0.35,0),MAX(0,ROUND(AC64-0.15,0))+1)))</f>
        <v>1 - 2</v>
      </c>
      <c r="M64" s="60" t="str">
        <f aca="false">IF(AND(J64&gt;=I64,J64&gt;=K64),"Draw",IF(I64&gt;=K64,D64&amp;" win",E64&amp;" win"))</f>
        <v>Türkiye win</v>
      </c>
      <c r="N64" s="42" t="n">
        <f aca="false">MAX(I64,J64,K64)</f>
        <v>0.712</v>
      </c>
      <c r="O64" s="41"/>
      <c r="P64" s="45"/>
      <c r="Q64" s="91"/>
      <c r="R64" s="91"/>
      <c r="S64" s="92" t="str">
        <f aca="false">IF(OR(Q64="",R64=""),"",IF(Q64&gt;R64,D64&amp;" win",IF(R64&gt;Q64,E64&amp;" win","Draw")))</f>
        <v/>
      </c>
      <c r="T64" s="92" t="str">
        <f aca="false">IF(U64="","",CHOOSE(MATCH(U64,{0,5,7,8,9,15},0),"Errou","Apenas Vencedor","Vencedor+Gols","Empate","Vencedor+Saldo","CRAVADA"))</f>
        <v/>
      </c>
      <c r="U64" s="93" t="str">
        <f aca="false">IF(OR(Q64="",R64=""),"",IF(AND(AA64=Q64,AB64=R64),15,IF(AND(AA64=AB64,Q64=R64),8,IF(AND(AA64&gt;AB64,Q64&gt;R64),IF((AA64-AB64)=(Q64-R64),9,IF(AA64=Q64,7,5)),IF(AND(AA64&lt;AB64,Q64&lt;R64),IF((AB64-AA64)=(R64-Q64),9,IF(AB64=R64,7,5)),0)))))</f>
        <v/>
      </c>
      <c r="AA64" s="1" t="n">
        <f aca="false">IFERROR(VALUE(LEFT(L64,FIND(" - ",L64)-1)),"")</f>
        <v>1</v>
      </c>
      <c r="AB64" s="1" t="n">
        <f aca="false">IFERROR(VALUE(MID(L64,FIND(" - ",L64)+3,10)),"")</f>
        <v>2</v>
      </c>
      <c r="AC64" s="1" t="n">
        <f aca="false">INDEX(Form_L20!$M$5:$M$52,MATCH(D64,Form_L20!$B$5:$B$52,0))*0.6+INDEX(Form_L20!$N$5:$N$52,MATCH(E64,Form_L20!$B$5:$B$52,0))*0.4</f>
        <v>1.57142857142857</v>
      </c>
      <c r="AD64" s="1" t="n">
        <f aca="false">INDEX(Form_L20!$M$5:$M$52,MATCH(E64,Form_L20!$B$5:$B$52,0))*0.6+INDEX(Form_L20!$N$5:$N$52,MATCH(D64,Form_L20!$B$5:$B$52,0))*0.4</f>
        <v>1.97738095238095</v>
      </c>
    </row>
    <row r="65" customFormat="false" ht="15" hidden="false" customHeight="true" outlineLevel="0" collapsed="false">
      <c r="A65" s="85" t="n">
        <v>60</v>
      </c>
      <c r="B65" s="85" t="s">
        <v>85</v>
      </c>
      <c r="C65" s="86" t="n">
        <v>46198</v>
      </c>
      <c r="D65" s="87" t="s">
        <v>87</v>
      </c>
      <c r="E65" s="87" t="s">
        <v>89</v>
      </c>
      <c r="F65" s="88" t="n">
        <f aca="false">ROUND((INDEX(Form_L20!$R$5:$R$52,MATCH(D65,Form_L20!$B$5:$B$52,0))*40+MIN(2,MAX(-2.5,INDEX(Form_L20!$M$5:$M$52,MATCH(D65,Form_L20!$B$5:$B$52,0))-INDEX(Form_L20!$N$5:$N$52,MATCH(D65,Form_L20!$B$5:$B$52,0))))*8+MIN(1.3,MAX(-0.7,1.3-INDEX(Form_L20!$N$5:$N$52,MATCH(D65,Form_L20!$B$5:$B$52,0))))*6)*INDEX(Form_L20!$Q$5:$Q$52,MATCH(D65,Form_L20!$B$5:$B$52,0))+INDEX(Tactics!$J$5:$J$52,MATCH(D65,Tactics!$B$5:$B$52,0))*0.3+INDEX(Tactics!$H$5:$H$52,MATCH(D65,Tactics!$B$5:$B$52,0))*1.5,1)</f>
        <v>54.6</v>
      </c>
      <c r="G65" s="88" t="n">
        <f aca="false">ROUND((INDEX(Form_L20!$R$5:$R$52,MATCH(E65,Form_L20!$B$5:$B$52,0))*40+MIN(2,MAX(-2.5,INDEX(Form_L20!$M$5:$M$52,MATCH(E65,Form_L20!$B$5:$B$52,0))-INDEX(Form_L20!$N$5:$N$52,MATCH(E65,Form_L20!$B$5:$B$52,0))))*8+MIN(1.3,MAX(-0.7,1.3-INDEX(Form_L20!$N$5:$N$52,MATCH(E65,Form_L20!$B$5:$B$52,0))))*6)*INDEX(Form_L20!$Q$5:$Q$52,MATCH(E65,Form_L20!$B$5:$B$52,0))+INDEX(Tactics!$J$5:$J$52,MATCH(E65,Tactics!$B$5:$B$52,0))*0.3+INDEX(Tactics!$H$5:$H$52,MATCH(E65,Tactics!$B$5:$B$52,0))*1.5,1)</f>
        <v>58</v>
      </c>
      <c r="H65" s="89" t="n">
        <f aca="false">F65-G65</f>
        <v>-3.4</v>
      </c>
      <c r="I65" s="42" t="n">
        <f aca="false">ROUND((1/(1+10^(-H65/15)))*(1-J65),3)</f>
        <v>0.19</v>
      </c>
      <c r="J65" s="42" t="n">
        <f aca="false">ROUND(MAX(0.19,0.56-ABS(H65)/48),3)</f>
        <v>0.489</v>
      </c>
      <c r="K65" s="42" t="n">
        <f aca="false">ROUND(1-I65-J65,3)</f>
        <v>0.321</v>
      </c>
      <c r="L65" s="90" t="str">
        <f aca="false">IF(AND(J65&gt;=I65,J65&gt;=K65),MAX(0,ROUND((AC65+AD65)/2,0))&amp;" - "&amp;MAX(0,ROUND((AC65+AD65)/2,0)),IF(I65&gt;=K65,MAX(ROUND(AC65+0.35,0),MAX(0,ROUND(AD65-0.15,0))+1)&amp;" - "&amp;MAX(0,ROUND(AD65-0.15,0)),MAX(0,ROUND(AC65-0.15,0))&amp;" - "&amp;MAX(ROUND(AD65+0.35,0),MAX(0,ROUND(AC65-0.15,0))+1)))</f>
        <v>1 - 1</v>
      </c>
      <c r="M65" s="60" t="str">
        <f aca="false">IF(AND(J65&gt;=I65,J65&gt;=K65),"Draw",IF(I65&gt;=K65,D65&amp;" win",E65&amp;" win"))</f>
        <v>Draw</v>
      </c>
      <c r="N65" s="42" t="n">
        <f aca="false">MAX(I65,J65,K65)</f>
        <v>0.489</v>
      </c>
      <c r="O65" s="41"/>
      <c r="P65" s="45"/>
      <c r="Q65" s="91"/>
      <c r="R65" s="91"/>
      <c r="S65" s="92" t="str">
        <f aca="false">IF(OR(Q65="",R65=""),"",IF(Q65&gt;R65,D65&amp;" win",IF(R65&gt;Q65,E65&amp;" win","Draw")))</f>
        <v/>
      </c>
      <c r="T65" s="92" t="str">
        <f aca="false">IF(U65="","",CHOOSE(MATCH(U65,{0,5,7,8,9,15},0),"Errou","Apenas Vencedor","Vencedor+Gols","Empate","Vencedor+Saldo","CRAVADA"))</f>
        <v/>
      </c>
      <c r="U65" s="93" t="str">
        <f aca="false">IF(OR(Q65="",R65=""),"",IF(AND(AA65=Q65,AB65=R65),15,IF(AND(AA65=AB65,Q65=R65),8,IF(AND(AA65&gt;AB65,Q65&gt;R65),IF((AA65-AB65)=(Q65-R65),9,IF(AA65=Q65,7,5)),IF(AND(AA65&lt;AB65,Q65&lt;R65),IF((AB65-AA65)=(R65-Q65),9,IF(AB65=R65,7,5)),0)))))</f>
        <v/>
      </c>
      <c r="AA65" s="1" t="n">
        <f aca="false">IFERROR(VALUE(LEFT(L65,FIND(" - ",L65)-1)),"")</f>
        <v>1</v>
      </c>
      <c r="AB65" s="1" t="n">
        <f aca="false">IFERROR(VALUE(MID(L65,FIND(" - ",L65)+3,10)),"")</f>
        <v>1</v>
      </c>
      <c r="AC65" s="1" t="n">
        <f aca="false">INDEX(Form_L20!$M$5:$M$52,MATCH(D65,Form_L20!$B$5:$B$52,0))*0.6+INDEX(Form_L20!$N$5:$N$52,MATCH(E65,Form_L20!$B$5:$B$52,0))*0.4</f>
        <v>0.805714285714286</v>
      </c>
      <c r="AD65" s="1" t="n">
        <f aca="false">INDEX(Form_L20!$M$5:$M$52,MATCH(E65,Form_L20!$B$5:$B$52,0))*0.6+INDEX(Form_L20!$N$5:$N$52,MATCH(D65,Form_L20!$B$5:$B$52,0))*0.4</f>
        <v>1.36285714285714</v>
      </c>
    </row>
    <row r="66" customFormat="false" ht="15" hidden="false" customHeight="true" outlineLevel="0" collapsed="false">
      <c r="A66" s="85" t="n">
        <v>61</v>
      </c>
      <c r="B66" s="85" t="s">
        <v>126</v>
      </c>
      <c r="C66" s="86" t="n">
        <v>46199</v>
      </c>
      <c r="D66" s="87" t="s">
        <v>130</v>
      </c>
      <c r="E66" s="87" t="s">
        <v>125</v>
      </c>
      <c r="F66" s="88" t="n">
        <f aca="false">ROUND((INDEX(Form_L20!$R$5:$R$52,MATCH(D66,Form_L20!$B$5:$B$52,0))*40+MIN(2,MAX(-2.5,INDEX(Form_L20!$M$5:$M$52,MATCH(D66,Form_L20!$B$5:$B$52,0))-INDEX(Form_L20!$N$5:$N$52,MATCH(D66,Form_L20!$B$5:$B$52,0))))*8+MIN(1.3,MAX(-0.7,1.3-INDEX(Form_L20!$N$5:$N$52,MATCH(D66,Form_L20!$B$5:$B$52,0))))*6)*INDEX(Form_L20!$Q$5:$Q$52,MATCH(D66,Form_L20!$B$5:$B$52,0))+INDEX(Tactics!$J$5:$J$52,MATCH(D66,Tactics!$B$5:$B$52,0))*0.3+INDEX(Tactics!$H$5:$H$52,MATCH(D66,Tactics!$B$5:$B$52,0))*1.5,1)</f>
        <v>79.4</v>
      </c>
      <c r="G66" s="88" t="n">
        <f aca="false">ROUND((INDEX(Form_L20!$R$5:$R$52,MATCH(E66,Form_L20!$B$5:$B$52,0))*40+MIN(2,MAX(-2.5,INDEX(Form_L20!$M$5:$M$52,MATCH(E66,Form_L20!$B$5:$B$52,0))-INDEX(Form_L20!$N$5:$N$52,MATCH(E66,Form_L20!$B$5:$B$52,0))))*8+MIN(1.3,MAX(-0.7,1.3-INDEX(Form_L20!$N$5:$N$52,MATCH(E66,Form_L20!$B$5:$B$52,0))))*6)*INDEX(Form_L20!$Q$5:$Q$52,MATCH(E66,Form_L20!$B$5:$B$52,0))+INDEX(Tactics!$J$5:$J$52,MATCH(E66,Tactics!$B$5:$B$52,0))*0.3+INDEX(Tactics!$H$5:$H$52,MATCH(E66,Tactics!$B$5:$B$52,0))*1.5,1)</f>
        <v>88.1</v>
      </c>
      <c r="H66" s="89" t="n">
        <f aca="false">F66-G66</f>
        <v>-8.69999999999999</v>
      </c>
      <c r="I66" s="42" t="n">
        <f aca="false">ROUND((1/(1+10^(-H66/15)))*(1-J66),3)</f>
        <v>0.129</v>
      </c>
      <c r="J66" s="42" t="n">
        <f aca="false">ROUND(MAX(0.19,0.56-ABS(H66)/48),3)</f>
        <v>0.379</v>
      </c>
      <c r="K66" s="42" t="n">
        <f aca="false">ROUND(1-I66-J66,3)</f>
        <v>0.492</v>
      </c>
      <c r="L66" s="90" t="str">
        <f aca="false">IF(AND(J66&gt;=I66,J66&gt;=K66),MAX(0,ROUND((AC66+AD66)/2,0))&amp;" - "&amp;MAX(0,ROUND((AC66+AD66)/2,0)),IF(I66&gt;=K66,MAX(ROUND(AC66+0.35,0),MAX(0,ROUND(AD66-0.15,0))+1)&amp;" - "&amp;MAX(0,ROUND(AD66-0.15,0)),MAX(0,ROUND(AC66-0.15,0))&amp;" - "&amp;MAX(ROUND(AD66+0.35,0),MAX(0,ROUND(AC66-0.15,0))+1)))</f>
        <v>2 - 3</v>
      </c>
      <c r="M66" s="60" t="str">
        <f aca="false">IF(AND(J66&gt;=I66,J66&gt;=K66),"Draw",IF(I66&gt;=K66,D66&amp;" win",E66&amp;" win"))</f>
        <v>France win</v>
      </c>
      <c r="N66" s="42" t="n">
        <f aca="false">MAX(I66,J66,K66)</f>
        <v>0.492</v>
      </c>
      <c r="O66" s="41"/>
      <c r="P66" s="45"/>
      <c r="Q66" s="91"/>
      <c r="R66" s="91"/>
      <c r="S66" s="92" t="str">
        <f aca="false">IF(OR(Q66="",R66=""),"",IF(Q66&gt;R66,D66&amp;" win",IF(R66&gt;Q66,E66&amp;" win","Draw")))</f>
        <v/>
      </c>
      <c r="T66" s="92" t="str">
        <f aca="false">IF(U66="","",CHOOSE(MATCH(U66,{0,5,7,8,9,15},0),"Errou","Apenas Vencedor","Vencedor+Gols","Empate","Vencedor+Saldo","CRAVADA"))</f>
        <v/>
      </c>
      <c r="U66" s="93" t="str">
        <f aca="false">IF(OR(Q66="",R66=""),"",IF(AND(AA66=Q66,AB66=R66),15,IF(AND(AA66=AB66,Q66=R66),8,IF(AND(AA66&gt;AB66,Q66&gt;R66),IF((AA66-AB66)=(Q66-R66),9,IF(AA66=Q66,7,5)),IF(AND(AA66&lt;AB66,Q66&lt;R66),IF((AB66-AA66)=(R66-Q66),9,IF(AB66=R66,7,5)),0)))))</f>
        <v/>
      </c>
      <c r="AA66" s="1" t="n">
        <f aca="false">IFERROR(VALUE(LEFT(L66,FIND(" - ",L66)-1)),"")</f>
        <v>2</v>
      </c>
      <c r="AB66" s="1" t="n">
        <f aca="false">IFERROR(VALUE(MID(L66,FIND(" - ",L66)+3,10)),"")</f>
        <v>3</v>
      </c>
      <c r="AC66" s="1" t="n">
        <f aca="false">INDEX(Form_L20!$M$5:$M$52,MATCH(D66,Form_L20!$B$5:$B$52,0))*0.6+INDEX(Form_L20!$N$5:$N$52,MATCH(E66,Form_L20!$B$5:$B$52,0))*0.4</f>
        <v>2.15846153846154</v>
      </c>
      <c r="AD66" s="1" t="n">
        <f aca="false">INDEX(Form_L20!$M$5:$M$52,MATCH(E66,Form_L20!$B$5:$B$52,0))*0.6+INDEX(Form_L20!$N$5:$N$52,MATCH(D66,Form_L20!$B$5:$B$52,0))*0.4</f>
        <v>1.78076923076923</v>
      </c>
    </row>
    <row r="67" customFormat="false" ht="15" hidden="false" customHeight="true" outlineLevel="0" collapsed="false">
      <c r="A67" s="85" t="n">
        <v>62</v>
      </c>
      <c r="B67" s="85" t="s">
        <v>126</v>
      </c>
      <c r="C67" s="86" t="n">
        <v>46199</v>
      </c>
      <c r="D67" s="87" t="s">
        <v>128</v>
      </c>
      <c r="E67" s="87" t="s">
        <v>132</v>
      </c>
      <c r="F67" s="88" t="n">
        <f aca="false">ROUND((INDEX(Form_L20!$R$5:$R$52,MATCH(D67,Form_L20!$B$5:$B$52,0))*40+MIN(2,MAX(-2.5,INDEX(Form_L20!$M$5:$M$52,MATCH(D67,Form_L20!$B$5:$B$52,0))-INDEX(Form_L20!$N$5:$N$52,MATCH(D67,Form_L20!$B$5:$B$52,0))))*8+MIN(1.3,MAX(-0.7,1.3-INDEX(Form_L20!$N$5:$N$52,MATCH(D67,Form_L20!$B$5:$B$52,0))))*6)*INDEX(Form_L20!$Q$5:$Q$52,MATCH(D67,Form_L20!$B$5:$B$52,0))+INDEX(Tactics!$J$5:$J$52,MATCH(D67,Tactics!$B$5:$B$52,0))*0.3+INDEX(Tactics!$H$5:$H$52,MATCH(D67,Tactics!$B$5:$B$52,0))*1.5,1)</f>
        <v>83.7</v>
      </c>
      <c r="G67" s="88" t="n">
        <f aca="false">ROUND((INDEX(Form_L20!$R$5:$R$52,MATCH(E67,Form_L20!$B$5:$B$52,0))*40+MIN(2,MAX(-2.5,INDEX(Form_L20!$M$5:$M$52,MATCH(E67,Form_L20!$B$5:$B$52,0))-INDEX(Form_L20!$N$5:$N$52,MATCH(E67,Form_L20!$B$5:$B$52,0))))*8+MIN(1.3,MAX(-0.7,1.3-INDEX(Form_L20!$N$5:$N$52,MATCH(E67,Form_L20!$B$5:$B$52,0))))*6)*INDEX(Form_L20!$Q$5:$Q$52,MATCH(E67,Form_L20!$B$5:$B$52,0))+INDEX(Tactics!$J$5:$J$52,MATCH(E67,Tactics!$B$5:$B$52,0))*0.3+INDEX(Tactics!$H$5:$H$52,MATCH(E67,Tactics!$B$5:$B$52,0))*1.5,1)</f>
        <v>49.7</v>
      </c>
      <c r="H67" s="89" t="n">
        <f aca="false">F67-G67</f>
        <v>34</v>
      </c>
      <c r="I67" s="42" t="n">
        <f aca="false">ROUND((1/(1+10^(-H67/15)))*(1-J67),3)</f>
        <v>0.806</v>
      </c>
      <c r="J67" s="42" t="n">
        <f aca="false">ROUND(MAX(0.19,0.56-ABS(H67)/48),3)</f>
        <v>0.19</v>
      </c>
      <c r="K67" s="42" t="n">
        <f aca="false">ROUND(1-I67-J67,3)</f>
        <v>0.004</v>
      </c>
      <c r="L67" s="90" t="str">
        <f aca="false">IF(AND(J67&gt;=I67,J67&gt;=K67),MAX(0,ROUND((AC67+AD67)/2,0))&amp;" - "&amp;MAX(0,ROUND((AC67+AD67)/2,0)),IF(I67&gt;=K67,MAX(ROUND(AC67+0.35,0),MAX(0,ROUND(AD67-0.15,0))+1)&amp;" - "&amp;MAX(0,ROUND(AD67-0.15,0)),MAX(0,ROUND(AC67-0.15,0))&amp;" - "&amp;MAX(ROUND(AD67+0.35,0),MAX(0,ROUND(AC67-0.15,0))+1)))</f>
        <v>2 - 1</v>
      </c>
      <c r="M67" s="60" t="str">
        <f aca="false">IF(AND(J67&gt;=I67,J67&gt;=K67),"Draw",IF(I67&gt;=K67,D67&amp;" win",E67&amp;" win"))</f>
        <v>Senegal win</v>
      </c>
      <c r="N67" s="42" t="n">
        <f aca="false">MAX(I67,J67,K67)</f>
        <v>0.806</v>
      </c>
      <c r="O67" s="41"/>
      <c r="P67" s="45"/>
      <c r="Q67" s="91"/>
      <c r="R67" s="91"/>
      <c r="S67" s="92" t="str">
        <f aca="false">IF(OR(Q67="",R67=""),"",IF(Q67&gt;R67,D67&amp;" win",IF(R67&gt;Q67,E67&amp;" win","Draw")))</f>
        <v/>
      </c>
      <c r="T67" s="92" t="str">
        <f aca="false">IF(U67="","",CHOOSE(MATCH(U67,{0,5,7,8,9,15},0),"Errou","Apenas Vencedor","Vencedor+Gols","Empate","Vencedor+Saldo","CRAVADA"))</f>
        <v/>
      </c>
      <c r="U67" s="93" t="str">
        <f aca="false">IF(OR(Q67="",R67=""),"",IF(AND(AA67=Q67,AB67=R67),15,IF(AND(AA67=AB67,Q67=R67),8,IF(AND(AA67&gt;AB67,Q67&gt;R67),IF((AA67-AB67)=(Q67-R67),9,IF(AA67=Q67,7,5)),IF(AND(AA67&lt;AB67,Q67&lt;R67),IF((AB67-AA67)=(R67-Q67),9,IF(AB67=R67,7,5)),0)))))</f>
        <v/>
      </c>
      <c r="AA67" s="1" t="n">
        <f aca="false">IFERROR(VALUE(LEFT(L67,FIND(" - ",L67)-1)),"")</f>
        <v>2</v>
      </c>
      <c r="AB67" s="1" t="n">
        <f aca="false">IFERROR(VALUE(MID(L67,FIND(" - ",L67)+3,10)),"")</f>
        <v>1</v>
      </c>
      <c r="AC67" s="1" t="n">
        <f aca="false">INDEX(Form_L20!$M$5:$M$52,MATCH(D67,Form_L20!$B$5:$B$52,0))*0.6+INDEX(Form_L20!$N$5:$N$52,MATCH(E67,Form_L20!$B$5:$B$52,0))*0.4</f>
        <v>1.69142857142857</v>
      </c>
      <c r="AD67" s="1" t="n">
        <f aca="false">INDEX(Form_L20!$M$5:$M$52,MATCH(E67,Form_L20!$B$5:$B$52,0))*0.6+INDEX(Form_L20!$N$5:$N$52,MATCH(D67,Form_L20!$B$5:$B$52,0))*0.4</f>
        <v>0.762857142857143</v>
      </c>
    </row>
    <row r="68" customFormat="false" ht="15" hidden="false" customHeight="true" outlineLevel="0" collapsed="false">
      <c r="A68" s="85" t="n">
        <v>63</v>
      </c>
      <c r="B68" s="85" t="s">
        <v>110</v>
      </c>
      <c r="C68" s="86" t="n">
        <v>46199</v>
      </c>
      <c r="D68" s="87" t="s">
        <v>114</v>
      </c>
      <c r="E68" s="87" t="s">
        <v>109</v>
      </c>
      <c r="F68" s="88" t="n">
        <f aca="false">ROUND((INDEX(Form_L20!$R$5:$R$52,MATCH(D68,Form_L20!$B$5:$B$52,0))*40+MIN(2,MAX(-2.5,INDEX(Form_L20!$M$5:$M$52,MATCH(D68,Form_L20!$B$5:$B$52,0))-INDEX(Form_L20!$N$5:$N$52,MATCH(D68,Form_L20!$B$5:$B$52,0))))*8+MIN(1.3,MAX(-0.7,1.3-INDEX(Form_L20!$N$5:$N$52,MATCH(D68,Form_L20!$B$5:$B$52,0))))*6)*INDEX(Form_L20!$Q$5:$Q$52,MATCH(D68,Form_L20!$B$5:$B$52,0))+INDEX(Tactics!$J$5:$J$52,MATCH(D68,Tactics!$B$5:$B$52,0))*0.3+INDEX(Tactics!$H$5:$H$52,MATCH(D68,Tactics!$B$5:$B$52,0))*1.5,1)</f>
        <v>40.4</v>
      </c>
      <c r="G68" s="88" t="n">
        <f aca="false">ROUND((INDEX(Form_L20!$R$5:$R$52,MATCH(E68,Form_L20!$B$5:$B$52,0))*40+MIN(2,MAX(-2.5,INDEX(Form_L20!$M$5:$M$52,MATCH(E68,Form_L20!$B$5:$B$52,0))-INDEX(Form_L20!$N$5:$N$52,MATCH(E68,Form_L20!$B$5:$B$52,0))))*8+MIN(1.3,MAX(-0.7,1.3-INDEX(Form_L20!$N$5:$N$52,MATCH(E68,Form_L20!$B$5:$B$52,0))))*6)*INDEX(Form_L20!$Q$5:$Q$52,MATCH(E68,Form_L20!$B$5:$B$52,0))+INDEX(Tactics!$J$5:$J$52,MATCH(E68,Tactics!$B$5:$B$52,0))*0.3+INDEX(Tactics!$H$5:$H$52,MATCH(E68,Tactics!$B$5:$B$52,0))*1.5,1)</f>
        <v>71.7</v>
      </c>
      <c r="H68" s="89" t="n">
        <f aca="false">F68-G68</f>
        <v>-31.3</v>
      </c>
      <c r="I68" s="42" t="n">
        <f aca="false">ROUND((1/(1+10^(-H68/15)))*(1-J68),3)</f>
        <v>0.007</v>
      </c>
      <c r="J68" s="42" t="n">
        <f aca="false">ROUND(MAX(0.19,0.56-ABS(H68)/48),3)</f>
        <v>0.19</v>
      </c>
      <c r="K68" s="42" t="n">
        <f aca="false">ROUND(1-I68-J68,3)</f>
        <v>0.803</v>
      </c>
      <c r="L68" s="90" t="str">
        <f aca="false">IF(AND(J68&gt;=I68,J68&gt;=K68),MAX(0,ROUND((AC68+AD68)/2,0))&amp;" - "&amp;MAX(0,ROUND((AC68+AD68)/2,0)),IF(I68&gt;=K68,MAX(ROUND(AC68+0.35,0),MAX(0,ROUND(AD68-0.15,0))+1)&amp;" - "&amp;MAX(0,ROUND(AD68-0.15,0)),MAX(0,ROUND(AC68-0.15,0))&amp;" - "&amp;MAX(ROUND(AD68+0.35,0),MAX(0,ROUND(AC68-0.15,0))+1)))</f>
        <v>1 - 2</v>
      </c>
      <c r="M68" s="60" t="str">
        <f aca="false">IF(AND(J68&gt;=I68,J68&gt;=K68),"Draw",IF(I68&gt;=K68,D68&amp;" win",E68&amp;" win"))</f>
        <v>Belgium win</v>
      </c>
      <c r="N68" s="42" t="n">
        <f aca="false">MAX(I68,J68,K68)</f>
        <v>0.803</v>
      </c>
      <c r="O68" s="41"/>
      <c r="P68" s="45"/>
      <c r="Q68" s="91"/>
      <c r="R68" s="91"/>
      <c r="S68" s="92" t="str">
        <f aca="false">IF(OR(Q68="",R68=""),"",IF(Q68&gt;R68,D68&amp;" win",IF(R68&gt;Q68,E68&amp;" win","Draw")))</f>
        <v/>
      </c>
      <c r="T68" s="92" t="str">
        <f aca="false">IF(U68="","",CHOOSE(MATCH(U68,{0,5,7,8,9,15},0),"Errou","Apenas Vencedor","Vencedor+Gols","Empate","Vencedor+Saldo","CRAVADA"))</f>
        <v/>
      </c>
      <c r="U68" s="93" t="str">
        <f aca="false">IF(OR(Q68="",R68=""),"",IF(AND(AA68=Q68,AB68=R68),15,IF(AND(AA68=AB68,Q68=R68),8,IF(AND(AA68&gt;AB68,Q68&gt;R68),IF((AA68-AB68)=(Q68-R68),9,IF(AA68=Q68,7,5)),IF(AND(AA68&lt;AB68,Q68&lt;R68),IF((AB68-AA68)=(R68-Q68),9,IF(AB68=R68,7,5)),0)))))</f>
        <v/>
      </c>
      <c r="AA68" s="1" t="n">
        <f aca="false">IFERROR(VALUE(LEFT(L68,FIND(" - ",L68)-1)),"")</f>
        <v>1</v>
      </c>
      <c r="AB68" s="1" t="n">
        <f aca="false">IFERROR(VALUE(MID(L68,FIND(" - ",L68)+3,10)),"")</f>
        <v>2</v>
      </c>
      <c r="AC68" s="1" t="n">
        <f aca="false">INDEX(Form_L20!$M$5:$M$52,MATCH(D68,Form_L20!$B$5:$B$52,0))*0.6+INDEX(Form_L20!$N$5:$N$52,MATCH(E68,Form_L20!$B$5:$B$52,0))*0.4</f>
        <v>1.08</v>
      </c>
      <c r="AD68" s="1" t="n">
        <f aca="false">INDEX(Form_L20!$M$5:$M$52,MATCH(E68,Form_L20!$B$5:$B$52,0))*0.6+INDEX(Form_L20!$N$5:$N$52,MATCH(D68,Form_L20!$B$5:$B$52,0))*0.4</f>
        <v>1.81</v>
      </c>
    </row>
    <row r="69" customFormat="false" ht="15" hidden="false" customHeight="true" outlineLevel="0" collapsed="false">
      <c r="A69" s="85" t="n">
        <v>64</v>
      </c>
      <c r="B69" s="85" t="s">
        <v>110</v>
      </c>
      <c r="C69" s="86" t="n">
        <v>46199</v>
      </c>
      <c r="D69" s="87" t="s">
        <v>113</v>
      </c>
      <c r="E69" s="87" t="s">
        <v>112</v>
      </c>
      <c r="F69" s="88" t="n">
        <f aca="false">ROUND((INDEX(Form_L20!$R$5:$R$52,MATCH(D69,Form_L20!$B$5:$B$52,0))*40+MIN(2,MAX(-2.5,INDEX(Form_L20!$M$5:$M$52,MATCH(D69,Form_L20!$B$5:$B$52,0))-INDEX(Form_L20!$N$5:$N$52,MATCH(D69,Form_L20!$B$5:$B$52,0))))*8+MIN(1.3,MAX(-0.7,1.3-INDEX(Form_L20!$N$5:$N$52,MATCH(D69,Form_L20!$B$5:$B$52,0))))*6)*INDEX(Form_L20!$Q$5:$Q$52,MATCH(D69,Form_L20!$B$5:$B$52,0))+INDEX(Tactics!$J$5:$J$52,MATCH(D69,Tactics!$B$5:$B$52,0))*0.3+INDEX(Tactics!$H$5:$H$52,MATCH(D69,Tactics!$B$5:$B$52,0))*1.5,1)</f>
        <v>82.8</v>
      </c>
      <c r="G69" s="88" t="n">
        <f aca="false">ROUND((INDEX(Form_L20!$R$5:$R$52,MATCH(E69,Form_L20!$B$5:$B$52,0))*40+MIN(2,MAX(-2.5,INDEX(Form_L20!$M$5:$M$52,MATCH(E69,Form_L20!$B$5:$B$52,0))-INDEX(Form_L20!$N$5:$N$52,MATCH(E69,Form_L20!$B$5:$B$52,0))))*8+MIN(1.3,MAX(-0.7,1.3-INDEX(Form_L20!$N$5:$N$52,MATCH(E69,Form_L20!$B$5:$B$52,0))))*6)*INDEX(Form_L20!$Q$5:$Q$52,MATCH(E69,Form_L20!$B$5:$B$52,0))+INDEX(Tactics!$J$5:$J$52,MATCH(E69,Tactics!$B$5:$B$52,0))*0.3+INDEX(Tactics!$H$5:$H$52,MATCH(E69,Tactics!$B$5:$B$52,0))*1.5,1)</f>
        <v>67.9</v>
      </c>
      <c r="H69" s="89" t="n">
        <f aca="false">F69-G69</f>
        <v>14.9</v>
      </c>
      <c r="I69" s="42" t="n">
        <f aca="false">ROUND((1/(1+10^(-H69/15)))*(1-J69),3)</f>
        <v>0.681</v>
      </c>
      <c r="J69" s="42" t="n">
        <f aca="false">ROUND(MAX(0.19,0.56-ABS(H69)/48),3)</f>
        <v>0.25</v>
      </c>
      <c r="K69" s="42" t="n">
        <f aca="false">ROUND(1-I69-J69,3)</f>
        <v>0.069</v>
      </c>
      <c r="L69" s="90" t="str">
        <f aca="false">IF(AND(J69&gt;=I69,J69&gt;=K69),MAX(0,ROUND((AC69+AD69)/2,0))&amp;" - "&amp;MAX(0,ROUND((AC69+AD69)/2,0)),IF(I69&gt;=K69,MAX(ROUND(AC69+0.35,0),MAX(0,ROUND(AD69-0.15,0))+1)&amp;" - "&amp;MAX(0,ROUND(AD69-0.15,0)),MAX(0,ROUND(AC69-0.15,0))&amp;" - "&amp;MAX(ROUND(AD69+0.35,0),MAX(0,ROUND(AC69-0.15,0))+1)))</f>
        <v>2 - 1</v>
      </c>
      <c r="M69" s="60" t="str">
        <f aca="false">IF(AND(J69&gt;=I69,J69&gt;=K69),"Draw",IF(I69&gt;=K69,D69&amp;" win",E69&amp;" win"))</f>
        <v>Egypt win</v>
      </c>
      <c r="N69" s="42" t="n">
        <f aca="false">MAX(I69,J69,K69)</f>
        <v>0.681</v>
      </c>
      <c r="O69" s="41"/>
      <c r="P69" s="45"/>
      <c r="Q69" s="91"/>
      <c r="R69" s="91"/>
      <c r="S69" s="92" t="str">
        <f aca="false">IF(OR(Q69="",R69=""),"",IF(Q69&gt;R69,D69&amp;" win",IF(R69&gt;Q69,E69&amp;" win","Draw")))</f>
        <v/>
      </c>
      <c r="T69" s="92" t="str">
        <f aca="false">IF(U69="","",CHOOSE(MATCH(U69,{0,5,7,8,9,15},0),"Errou","Apenas Vencedor","Vencedor+Gols","Empate","Vencedor+Saldo","CRAVADA"))</f>
        <v/>
      </c>
      <c r="U69" s="93" t="str">
        <f aca="false">IF(OR(Q69="",R69=""),"",IF(AND(AA69=Q69,AB69=R69),15,IF(AND(AA69=AB69,Q69=R69),8,IF(AND(AA69&gt;AB69,Q69&gt;R69),IF((AA69-AB69)=(Q69-R69),9,IF(AA69=Q69,7,5)),IF(AND(AA69&lt;AB69,Q69&lt;R69),IF((AB69-AA69)=(R69-Q69),9,IF(AB69=R69,7,5)),0)))))</f>
        <v/>
      </c>
      <c r="AA69" s="1" t="n">
        <f aca="false">IFERROR(VALUE(LEFT(L69,FIND(" - ",L69)-1)),"")</f>
        <v>2</v>
      </c>
      <c r="AB69" s="1" t="n">
        <f aca="false">IFERROR(VALUE(MID(L69,FIND(" - ",L69)+3,10)),"")</f>
        <v>1</v>
      </c>
      <c r="AC69" s="1" t="n">
        <f aca="false">INDEX(Form_L20!$M$5:$M$52,MATCH(D69,Form_L20!$B$5:$B$52,0))*0.6+INDEX(Form_L20!$N$5:$N$52,MATCH(E69,Form_L20!$B$5:$B$52,0))*0.4</f>
        <v>1.48</v>
      </c>
      <c r="AD69" s="1" t="n">
        <f aca="false">INDEX(Form_L20!$M$5:$M$52,MATCH(E69,Form_L20!$B$5:$B$52,0))*0.6+INDEX(Form_L20!$N$5:$N$52,MATCH(D69,Form_L20!$B$5:$B$52,0))*0.4</f>
        <v>1.16</v>
      </c>
    </row>
    <row r="70" customFormat="false" ht="15" hidden="false" customHeight="true" outlineLevel="0" collapsed="false">
      <c r="A70" s="85" t="n">
        <v>65</v>
      </c>
      <c r="B70" s="85" t="s">
        <v>118</v>
      </c>
      <c r="C70" s="86" t="n">
        <v>46199</v>
      </c>
      <c r="D70" s="87" t="s">
        <v>120</v>
      </c>
      <c r="E70" s="87" t="s">
        <v>117</v>
      </c>
      <c r="F70" s="88" t="n">
        <f aca="false">ROUND((INDEX(Form_L20!$R$5:$R$52,MATCH(D70,Form_L20!$B$5:$B$52,0))*40+MIN(2,MAX(-2.5,INDEX(Form_L20!$M$5:$M$52,MATCH(D70,Form_L20!$B$5:$B$52,0))-INDEX(Form_L20!$N$5:$N$52,MATCH(D70,Form_L20!$B$5:$B$52,0))))*8+MIN(1.3,MAX(-0.7,1.3-INDEX(Form_L20!$N$5:$N$52,MATCH(D70,Form_L20!$B$5:$B$52,0))))*6)*INDEX(Form_L20!$Q$5:$Q$52,MATCH(D70,Form_L20!$B$5:$B$52,0))+INDEX(Tactics!$J$5:$J$52,MATCH(D70,Tactics!$B$5:$B$52,0))*0.3+INDEX(Tactics!$H$5:$H$52,MATCH(D70,Tactics!$B$5:$B$52,0))*1.5,1)</f>
        <v>67.6</v>
      </c>
      <c r="G70" s="88" t="n">
        <f aca="false">ROUND((INDEX(Form_L20!$R$5:$R$52,MATCH(E70,Form_L20!$B$5:$B$52,0))*40+MIN(2,MAX(-2.5,INDEX(Form_L20!$M$5:$M$52,MATCH(E70,Form_L20!$B$5:$B$52,0))-INDEX(Form_L20!$N$5:$N$52,MATCH(E70,Form_L20!$B$5:$B$52,0))))*8+MIN(1.3,MAX(-0.7,1.3-INDEX(Form_L20!$N$5:$N$52,MATCH(E70,Form_L20!$B$5:$B$52,0))))*6)*INDEX(Form_L20!$Q$5:$Q$52,MATCH(E70,Form_L20!$B$5:$B$52,0))+INDEX(Tactics!$J$5:$J$52,MATCH(E70,Tactics!$B$5:$B$52,0))*0.3+INDEX(Tactics!$H$5:$H$52,MATCH(E70,Tactics!$B$5:$B$52,0))*1.5,1)</f>
        <v>90</v>
      </c>
      <c r="H70" s="89" t="n">
        <f aca="false">F70-G70</f>
        <v>-22.4</v>
      </c>
      <c r="I70" s="42" t="n">
        <f aca="false">ROUND((1/(1+10^(-H70/15)))*(1-J70),3)</f>
        <v>0.025</v>
      </c>
      <c r="J70" s="42" t="n">
        <f aca="false">ROUND(MAX(0.19,0.56-ABS(H70)/48),3)</f>
        <v>0.19</v>
      </c>
      <c r="K70" s="42" t="n">
        <f aca="false">ROUND(1-I70-J70,3)</f>
        <v>0.785</v>
      </c>
      <c r="L70" s="90" t="str">
        <f aca="false">IF(AND(J70&gt;=I70,J70&gt;=K70),MAX(0,ROUND((AC70+AD70)/2,0))&amp;" - "&amp;MAX(0,ROUND((AC70+AD70)/2,0)),IF(I70&gt;=K70,MAX(ROUND(AC70+0.35,0),MAX(0,ROUND(AD70-0.15,0))+1)&amp;" - "&amp;MAX(0,ROUND(AD70-0.15,0)),MAX(0,ROUND(AC70-0.15,0))&amp;" - "&amp;MAX(ROUND(AD70+0.35,0),MAX(0,ROUND(AC70-0.15,0))+1)))</f>
        <v>1 - 2</v>
      </c>
      <c r="M70" s="60" t="str">
        <f aca="false">IF(AND(J70&gt;=I70,J70&gt;=K70),"Draw",IF(I70&gt;=K70,D70&amp;" win",E70&amp;" win"))</f>
        <v>Spain win</v>
      </c>
      <c r="N70" s="42" t="n">
        <f aca="false">MAX(I70,J70,K70)</f>
        <v>0.785</v>
      </c>
      <c r="O70" s="41"/>
      <c r="P70" s="45"/>
      <c r="Q70" s="91"/>
      <c r="R70" s="91"/>
      <c r="S70" s="92" t="str">
        <f aca="false">IF(OR(Q70="",R70=""),"",IF(Q70&gt;R70,D70&amp;" win",IF(R70&gt;Q70,E70&amp;" win","Draw")))</f>
        <v/>
      </c>
      <c r="T70" s="92" t="str">
        <f aca="false">IF(U70="","",CHOOSE(MATCH(U70,{0,5,7,8,9,15},0),"Errou","Apenas Vencedor","Vencedor+Gols","Empate","Vencedor+Saldo","CRAVADA"))</f>
        <v/>
      </c>
      <c r="U70" s="93" t="str">
        <f aca="false">IF(OR(Q70="",R70=""),"",IF(AND(AA70=Q70,AB70=R70),15,IF(AND(AA70=AB70,Q70=R70),8,IF(AND(AA70&gt;AB70,Q70&gt;R70),IF((AA70-AB70)=(Q70-R70),9,IF(AA70=Q70,7,5)),IF(AND(AA70&lt;AB70,Q70&lt;R70),IF((AB70-AA70)=(R70-Q70),9,IF(AB70=R70,7,5)),0)))))</f>
        <v/>
      </c>
      <c r="AA70" s="1" t="n">
        <f aca="false">IFERROR(VALUE(LEFT(L70,FIND(" - ",L70)-1)),"")</f>
        <v>1</v>
      </c>
      <c r="AB70" s="1" t="n">
        <f aca="false">IFERROR(VALUE(MID(L70,FIND(" - ",L70)+3,10)),"")</f>
        <v>2</v>
      </c>
      <c r="AC70" s="1" t="n">
        <f aca="false">INDEX(Form_L20!$M$5:$M$52,MATCH(D70,Form_L20!$B$5:$B$52,0))*0.6+INDEX(Form_L20!$N$5:$N$52,MATCH(E70,Form_L20!$B$5:$B$52,0))*0.4</f>
        <v>1.065</v>
      </c>
      <c r="AD70" s="1" t="n">
        <f aca="false">INDEX(Form_L20!$M$5:$M$52,MATCH(E70,Form_L20!$B$5:$B$52,0))*0.6+INDEX(Form_L20!$N$5:$N$52,MATCH(D70,Form_L20!$B$5:$B$52,0))*0.4</f>
        <v>1.70666666666667</v>
      </c>
    </row>
    <row r="71" customFormat="false" ht="15" hidden="false" customHeight="true" outlineLevel="0" collapsed="false">
      <c r="A71" s="85" t="n">
        <v>66</v>
      </c>
      <c r="B71" s="85" t="s">
        <v>118</v>
      </c>
      <c r="C71" s="86" t="n">
        <v>46199</v>
      </c>
      <c r="D71" s="87" t="s">
        <v>124</v>
      </c>
      <c r="E71" s="87" t="s">
        <v>122</v>
      </c>
      <c r="F71" s="88" t="n">
        <f aca="false">ROUND((INDEX(Form_L20!$R$5:$R$52,MATCH(D71,Form_L20!$B$5:$B$52,0))*40+MIN(2,MAX(-2.5,INDEX(Form_L20!$M$5:$M$52,MATCH(D71,Form_L20!$B$5:$B$52,0))-INDEX(Form_L20!$N$5:$N$52,MATCH(D71,Form_L20!$B$5:$B$52,0))))*8+MIN(1.3,MAX(-0.7,1.3-INDEX(Form_L20!$N$5:$N$52,MATCH(D71,Form_L20!$B$5:$B$52,0))))*6)*INDEX(Form_L20!$Q$5:$Q$52,MATCH(D71,Form_L20!$B$5:$B$52,0))+INDEX(Tactics!$J$5:$J$52,MATCH(D71,Tactics!$B$5:$B$52,0))*0.3+INDEX(Tactics!$H$5:$H$52,MATCH(D71,Tactics!$B$5:$B$52,0))*1.5,1)</f>
        <v>60.6</v>
      </c>
      <c r="G71" s="88" t="n">
        <f aca="false">ROUND((INDEX(Form_L20!$R$5:$R$52,MATCH(E71,Form_L20!$B$5:$B$52,0))*40+MIN(2,MAX(-2.5,INDEX(Form_L20!$M$5:$M$52,MATCH(E71,Form_L20!$B$5:$B$52,0))-INDEX(Form_L20!$N$5:$N$52,MATCH(E71,Form_L20!$B$5:$B$52,0))))*8+MIN(1.3,MAX(-0.7,1.3-INDEX(Form_L20!$N$5:$N$52,MATCH(E71,Form_L20!$B$5:$B$52,0))))*6)*INDEX(Form_L20!$Q$5:$Q$52,MATCH(E71,Form_L20!$B$5:$B$52,0))+INDEX(Tactics!$J$5:$J$52,MATCH(E71,Tactics!$B$5:$B$52,0))*0.3+INDEX(Tactics!$H$5:$H$52,MATCH(E71,Tactics!$B$5:$B$52,0))*1.5,1)</f>
        <v>46.5</v>
      </c>
      <c r="H71" s="89" t="n">
        <f aca="false">F71-G71</f>
        <v>14.1</v>
      </c>
      <c r="I71" s="42" t="n">
        <f aca="false">ROUND((1/(1+10^(-H71/15)))*(1-J71),3)</f>
        <v>0.658</v>
      </c>
      <c r="J71" s="42" t="n">
        <f aca="false">ROUND(MAX(0.19,0.56-ABS(H71)/48),3)</f>
        <v>0.266</v>
      </c>
      <c r="K71" s="42" t="n">
        <f aca="false">ROUND(1-I71-J71,3)</f>
        <v>0.076</v>
      </c>
      <c r="L71" s="90" t="str">
        <f aca="false">IF(AND(J71&gt;=I71,J71&gt;=K71),MAX(0,ROUND((AC71+AD71)/2,0))&amp;" - "&amp;MAX(0,ROUND((AC71+AD71)/2,0)),IF(I71&gt;=K71,MAX(ROUND(AC71+0.35,0),MAX(0,ROUND(AD71-0.15,0))+1)&amp;" - "&amp;MAX(0,ROUND(AD71-0.15,0)),MAX(0,ROUND(AC71-0.15,0))&amp;" - "&amp;MAX(ROUND(AD71+0.35,0),MAX(0,ROUND(AC71-0.15,0))+1)))</f>
        <v>2 - 1</v>
      </c>
      <c r="M71" s="60" t="str">
        <f aca="false">IF(AND(J71&gt;=I71,J71&gt;=K71),"Draw",IF(I71&gt;=K71,D71&amp;" win",E71&amp;" win"))</f>
        <v>Cape Verde win</v>
      </c>
      <c r="N71" s="42" t="n">
        <f aca="false">MAX(I71,J71,K71)</f>
        <v>0.658</v>
      </c>
      <c r="O71" s="41"/>
      <c r="P71" s="45"/>
      <c r="Q71" s="91"/>
      <c r="R71" s="91"/>
      <c r="S71" s="92" t="str">
        <f aca="false">IF(OR(Q71="",R71=""),"",IF(Q71&gt;R71,D71&amp;" win",IF(R71&gt;Q71,E71&amp;" win","Draw")))</f>
        <v/>
      </c>
      <c r="T71" s="92" t="str">
        <f aca="false">IF(U71="","",CHOOSE(MATCH(U71,{0,5,7,8,9,15},0),"Errou","Apenas Vencedor","Vencedor+Gols","Empate","Vencedor+Saldo","CRAVADA"))</f>
        <v/>
      </c>
      <c r="U71" s="93" t="str">
        <f aca="false">IF(OR(Q71="",R71=""),"",IF(AND(AA71=Q71,AB71=R71),15,IF(AND(AA71=AB71,Q71=R71),8,IF(AND(AA71&gt;AB71,Q71&gt;R71),IF((AA71-AB71)=(Q71-R71),9,IF(AA71=Q71,7,5)),IF(AND(AA71&lt;AB71,Q71&lt;R71),IF((AB71-AA71)=(R71-Q71),9,IF(AB71=R71,7,5)),0)))))</f>
        <v/>
      </c>
      <c r="AA71" s="1" t="n">
        <f aca="false">IFERROR(VALUE(LEFT(L71,FIND(" - ",L71)-1)),"")</f>
        <v>2</v>
      </c>
      <c r="AB71" s="1" t="n">
        <f aca="false">IFERROR(VALUE(MID(L71,FIND(" - ",L71)+3,10)),"")</f>
        <v>1</v>
      </c>
      <c r="AC71" s="1" t="n">
        <f aca="false">INDEX(Form_L20!$M$5:$M$52,MATCH(D71,Form_L20!$B$5:$B$52,0))*0.6+INDEX(Form_L20!$N$5:$N$52,MATCH(E71,Form_L20!$B$5:$B$52,0))*0.4</f>
        <v>1.32666666666667</v>
      </c>
      <c r="AD71" s="1" t="n">
        <f aca="false">INDEX(Form_L20!$M$5:$M$52,MATCH(E71,Form_L20!$B$5:$B$52,0))*0.6+INDEX(Form_L20!$N$5:$N$52,MATCH(D71,Form_L20!$B$5:$B$52,0))*0.4</f>
        <v>0.87</v>
      </c>
    </row>
    <row r="72" customFormat="false" ht="15" hidden="false" customHeight="true" outlineLevel="0" collapsed="false">
      <c r="A72" s="85" t="n">
        <v>67</v>
      </c>
      <c r="B72" s="85" t="s">
        <v>150</v>
      </c>
      <c r="C72" s="86" t="n">
        <v>46200</v>
      </c>
      <c r="D72" s="87" t="s">
        <v>154</v>
      </c>
      <c r="E72" s="87" t="s">
        <v>149</v>
      </c>
      <c r="F72" s="88" t="n">
        <f aca="false">ROUND((INDEX(Form_L20!$R$5:$R$52,MATCH(D72,Form_L20!$B$5:$B$52,0))*40+MIN(2,MAX(-2.5,INDEX(Form_L20!$M$5:$M$52,MATCH(D72,Form_L20!$B$5:$B$52,0))-INDEX(Form_L20!$N$5:$N$52,MATCH(D72,Form_L20!$B$5:$B$52,0))))*8+MIN(1.3,MAX(-0.7,1.3-INDEX(Form_L20!$N$5:$N$52,MATCH(D72,Form_L20!$B$5:$B$52,0))))*6)*INDEX(Form_L20!$Q$5:$Q$52,MATCH(D72,Form_L20!$B$5:$B$52,0))+INDEX(Tactics!$J$5:$J$52,MATCH(D72,Tactics!$B$5:$B$52,0))*0.3+INDEX(Tactics!$H$5:$H$52,MATCH(D72,Tactics!$B$5:$B$52,0))*1.5,1)</f>
        <v>58.5</v>
      </c>
      <c r="G72" s="88" t="n">
        <f aca="false">ROUND((INDEX(Form_L20!$R$5:$R$52,MATCH(E72,Form_L20!$B$5:$B$52,0))*40+MIN(2,MAX(-2.5,INDEX(Form_L20!$M$5:$M$52,MATCH(E72,Form_L20!$B$5:$B$52,0))-INDEX(Form_L20!$N$5:$N$52,MATCH(E72,Form_L20!$B$5:$B$52,0))))*8+MIN(1.3,MAX(-0.7,1.3-INDEX(Form_L20!$N$5:$N$52,MATCH(E72,Form_L20!$B$5:$B$52,0))))*6)*INDEX(Form_L20!$Q$5:$Q$52,MATCH(E72,Form_L20!$B$5:$B$52,0))+INDEX(Tactics!$J$5:$J$52,MATCH(E72,Tactics!$B$5:$B$52,0))*0.3+INDEX(Tactics!$H$5:$H$52,MATCH(E72,Tactics!$B$5:$B$52,0))*1.5,1)</f>
        <v>81.7</v>
      </c>
      <c r="H72" s="89" t="n">
        <f aca="false">F72-G72</f>
        <v>-23.2</v>
      </c>
      <c r="I72" s="42" t="n">
        <f aca="false">ROUND((1/(1+10^(-H72/15)))*(1-J72),3)</f>
        <v>0.022</v>
      </c>
      <c r="J72" s="42" t="n">
        <f aca="false">ROUND(MAX(0.19,0.56-ABS(H72)/48),3)</f>
        <v>0.19</v>
      </c>
      <c r="K72" s="42" t="n">
        <f aca="false">ROUND(1-I72-J72,3)</f>
        <v>0.788</v>
      </c>
      <c r="L72" s="90" t="str">
        <f aca="false">IF(AND(J72&gt;=I72,J72&gt;=K72),MAX(0,ROUND((AC72+AD72)/2,0))&amp;" - "&amp;MAX(0,ROUND((AC72+AD72)/2,0)),IF(I72&gt;=K72,MAX(ROUND(AC72+0.35,0),MAX(0,ROUND(AD72-0.15,0))+1)&amp;" - "&amp;MAX(0,ROUND(AD72-0.15,0)),MAX(0,ROUND(AC72-0.15,0))&amp;" - "&amp;MAX(ROUND(AD72+0.35,0),MAX(0,ROUND(AC72-0.15,0))+1)))</f>
        <v>1 - 2</v>
      </c>
      <c r="M72" s="60" t="str">
        <f aca="false">IF(AND(J72&gt;=I72,J72&gt;=K72),"Draw",IF(I72&gt;=K72,D72&amp;" win",E72&amp;" win"))</f>
        <v>England win</v>
      </c>
      <c r="N72" s="42" t="n">
        <f aca="false">MAX(I72,J72,K72)</f>
        <v>0.788</v>
      </c>
      <c r="O72" s="41"/>
      <c r="P72" s="45"/>
      <c r="Q72" s="91"/>
      <c r="R72" s="91"/>
      <c r="S72" s="92" t="str">
        <f aca="false">IF(OR(Q72="",R72=""),"",IF(Q72&gt;R72,D72&amp;" win",IF(R72&gt;Q72,E72&amp;" win","Draw")))</f>
        <v/>
      </c>
      <c r="T72" s="92" t="str">
        <f aca="false">IF(U72="","",CHOOSE(MATCH(U72,{0,5,7,8,9,15},0),"Errou","Apenas Vencedor","Vencedor+Gols","Empate","Vencedor+Saldo","CRAVADA"))</f>
        <v/>
      </c>
      <c r="U72" s="93" t="str">
        <f aca="false">IF(OR(Q72="",R72=""),"",IF(AND(AA72=Q72,AB72=R72),15,IF(AND(AA72=AB72,Q72=R72),8,IF(AND(AA72&gt;AB72,Q72&gt;R72),IF((AA72-AB72)=(Q72-R72),9,IF(AA72=Q72,7,5)),IF(AND(AA72&lt;AB72,Q72&lt;R72),IF((AB72-AA72)=(R72-Q72),9,IF(AB72=R72,7,5)),0)))))</f>
        <v/>
      </c>
      <c r="AA72" s="1" t="n">
        <f aca="false">IFERROR(VALUE(LEFT(L72,FIND(" - ",L72)-1)),"")</f>
        <v>1</v>
      </c>
      <c r="AB72" s="1" t="n">
        <f aca="false">IFERROR(VALUE(MID(L72,FIND(" - ",L72)+3,10)),"")</f>
        <v>2</v>
      </c>
      <c r="AC72" s="1" t="n">
        <f aca="false">INDEX(Form_L20!$M$5:$M$52,MATCH(D72,Form_L20!$B$5:$B$52,0))*0.6+INDEX(Form_L20!$N$5:$N$52,MATCH(E72,Form_L20!$B$5:$B$52,0))*0.4</f>
        <v>1.16</v>
      </c>
      <c r="AD72" s="1" t="n">
        <f aca="false">INDEX(Form_L20!$M$5:$M$52,MATCH(E72,Form_L20!$B$5:$B$52,0))*0.6+INDEX(Form_L20!$N$5:$N$52,MATCH(D72,Form_L20!$B$5:$B$52,0))*0.4</f>
        <v>1.46666666666667</v>
      </c>
    </row>
    <row r="73" customFormat="false" ht="15" hidden="false" customHeight="true" outlineLevel="0" collapsed="false">
      <c r="A73" s="85" t="n">
        <v>68</v>
      </c>
      <c r="B73" s="85" t="s">
        <v>150</v>
      </c>
      <c r="C73" s="86" t="n">
        <v>46200</v>
      </c>
      <c r="D73" s="87" t="s">
        <v>152</v>
      </c>
      <c r="E73" s="87" t="s">
        <v>156</v>
      </c>
      <c r="F73" s="88" t="n">
        <f aca="false">ROUND((INDEX(Form_L20!$R$5:$R$52,MATCH(D73,Form_L20!$B$5:$B$52,0))*40+MIN(2,MAX(-2.5,INDEX(Form_L20!$M$5:$M$52,MATCH(D73,Form_L20!$B$5:$B$52,0))-INDEX(Form_L20!$N$5:$N$52,MATCH(D73,Form_L20!$B$5:$B$52,0))))*8+MIN(1.3,MAX(-0.7,1.3-INDEX(Form_L20!$N$5:$N$52,MATCH(D73,Form_L20!$B$5:$B$52,0))))*6)*INDEX(Form_L20!$Q$5:$Q$52,MATCH(D73,Form_L20!$B$5:$B$52,0))+INDEX(Tactics!$J$5:$J$52,MATCH(D73,Tactics!$B$5:$B$52,0))*0.3+INDEX(Tactics!$H$5:$H$52,MATCH(D73,Tactics!$B$5:$B$52,0))*1.5,1)</f>
        <v>70</v>
      </c>
      <c r="G73" s="88" t="n">
        <f aca="false">ROUND((INDEX(Form_L20!$R$5:$R$52,MATCH(E73,Form_L20!$B$5:$B$52,0))*40+MIN(2,MAX(-2.5,INDEX(Form_L20!$M$5:$M$52,MATCH(E73,Form_L20!$B$5:$B$52,0))-INDEX(Form_L20!$N$5:$N$52,MATCH(E73,Form_L20!$B$5:$B$52,0))))*8+MIN(1.3,MAX(-0.7,1.3-INDEX(Form_L20!$N$5:$N$52,MATCH(E73,Form_L20!$B$5:$B$52,0))))*6)*INDEX(Form_L20!$Q$5:$Q$52,MATCH(E73,Form_L20!$B$5:$B$52,0))+INDEX(Tactics!$J$5:$J$52,MATCH(E73,Tactics!$B$5:$B$52,0))*0.3+INDEX(Tactics!$H$5:$H$52,MATCH(E73,Tactics!$B$5:$B$52,0))*1.5,1)</f>
        <v>68.6</v>
      </c>
      <c r="H73" s="89" t="n">
        <f aca="false">F73-G73</f>
        <v>1.40000000000001</v>
      </c>
      <c r="I73" s="42" t="n">
        <f aca="false">ROUND((1/(1+10^(-H73/15)))*(1-J73),3)</f>
        <v>0.26</v>
      </c>
      <c r="J73" s="42" t="n">
        <f aca="false">ROUND(MAX(0.19,0.56-ABS(H73)/48),3)</f>
        <v>0.531</v>
      </c>
      <c r="K73" s="42" t="n">
        <f aca="false">ROUND(1-I73-J73,3)</f>
        <v>0.209</v>
      </c>
      <c r="L73" s="90" t="str">
        <f aca="false">IF(AND(J73&gt;=I73,J73&gt;=K73),MAX(0,ROUND((AC73+AD73)/2,0))&amp;" - "&amp;MAX(0,ROUND((AC73+AD73)/2,0)),IF(I73&gt;=K73,MAX(ROUND(AC73+0.35,0),MAX(0,ROUND(AD73-0.15,0))+1)&amp;" - "&amp;MAX(0,ROUND(AD73-0.15,0)),MAX(0,ROUND(AC73-0.15,0))&amp;" - "&amp;MAX(ROUND(AD73+0.35,0),MAX(0,ROUND(AC73-0.15,0))+1)))</f>
        <v>2 - 2</v>
      </c>
      <c r="M73" s="60" t="str">
        <f aca="false">IF(AND(J73&gt;=I73,J73&gt;=K73),"Draw",IF(I73&gt;=K73,D73&amp;" win",E73&amp;" win"))</f>
        <v>Draw</v>
      </c>
      <c r="N73" s="42" t="n">
        <f aca="false">MAX(I73,J73,K73)</f>
        <v>0.531</v>
      </c>
      <c r="O73" s="41"/>
      <c r="P73" s="45"/>
      <c r="Q73" s="91"/>
      <c r="R73" s="91"/>
      <c r="S73" s="92" t="str">
        <f aca="false">IF(OR(Q73="",R73=""),"",IF(Q73&gt;R73,D73&amp;" win",IF(R73&gt;Q73,E73&amp;" win","Draw")))</f>
        <v/>
      </c>
      <c r="T73" s="92" t="str">
        <f aca="false">IF(U73="","",CHOOSE(MATCH(U73,{0,5,7,8,9,15},0),"Errou","Apenas Vencedor","Vencedor+Gols","Empate","Vencedor+Saldo","CRAVADA"))</f>
        <v/>
      </c>
      <c r="U73" s="93" t="str">
        <f aca="false">IF(OR(Q73="",R73=""),"",IF(AND(AA73=Q73,AB73=R73),15,IF(AND(AA73=AB73,Q73=R73),8,IF(AND(AA73&gt;AB73,Q73&gt;R73),IF((AA73-AB73)=(Q73-R73),9,IF(AA73=Q73,7,5)),IF(AND(AA73&lt;AB73,Q73&lt;R73),IF((AB73-AA73)=(R73-Q73),9,IF(AB73=R73,7,5)),0)))))</f>
        <v/>
      </c>
      <c r="AA73" s="1" t="n">
        <f aca="false">IFERROR(VALUE(LEFT(L73,FIND(" - ",L73)-1)),"")</f>
        <v>2</v>
      </c>
      <c r="AB73" s="1" t="n">
        <f aca="false">IFERROR(VALUE(MID(L73,FIND(" - ",L73)+3,10)),"")</f>
        <v>2</v>
      </c>
      <c r="AC73" s="1" t="n">
        <f aca="false">INDEX(Form_L20!$M$5:$M$52,MATCH(D73,Form_L20!$B$5:$B$52,0))*0.6+INDEX(Form_L20!$N$5:$N$52,MATCH(E73,Form_L20!$B$5:$B$52,0))*0.4</f>
        <v>1.26</v>
      </c>
      <c r="AD73" s="1" t="n">
        <f aca="false">INDEX(Form_L20!$M$5:$M$52,MATCH(E73,Form_L20!$B$5:$B$52,0))*0.6+INDEX(Form_L20!$N$5:$N$52,MATCH(D73,Form_L20!$B$5:$B$52,0))*0.4</f>
        <v>1.74</v>
      </c>
    </row>
    <row r="74" customFormat="false" ht="15" hidden="false" customHeight="true" outlineLevel="0" collapsed="false">
      <c r="A74" s="85" t="n">
        <v>69</v>
      </c>
      <c r="B74" s="85" t="s">
        <v>143</v>
      </c>
      <c r="C74" s="86" t="n">
        <v>46200</v>
      </c>
      <c r="D74" s="87" t="s">
        <v>145</v>
      </c>
      <c r="E74" s="87" t="s">
        <v>142</v>
      </c>
      <c r="F74" s="88" t="n">
        <f aca="false">ROUND((INDEX(Form_L20!$R$5:$R$52,MATCH(D74,Form_L20!$B$5:$B$52,0))*40+MIN(2,MAX(-2.5,INDEX(Form_L20!$M$5:$M$52,MATCH(D74,Form_L20!$B$5:$B$52,0))-INDEX(Form_L20!$N$5:$N$52,MATCH(D74,Form_L20!$B$5:$B$52,0))))*8+MIN(1.3,MAX(-0.7,1.3-INDEX(Form_L20!$N$5:$N$52,MATCH(D74,Form_L20!$B$5:$B$52,0))))*6)*INDEX(Form_L20!$Q$5:$Q$52,MATCH(D74,Form_L20!$B$5:$B$52,0))+INDEX(Tactics!$J$5:$J$52,MATCH(D74,Tactics!$B$5:$B$52,0))*0.3+INDEX(Tactics!$H$5:$H$52,MATCH(D74,Tactics!$B$5:$B$52,0))*1.5,1)</f>
        <v>70.9</v>
      </c>
      <c r="G74" s="88" t="n">
        <f aca="false">ROUND((INDEX(Form_L20!$R$5:$R$52,MATCH(E74,Form_L20!$B$5:$B$52,0))*40+MIN(2,MAX(-2.5,INDEX(Form_L20!$M$5:$M$52,MATCH(E74,Form_L20!$B$5:$B$52,0))-INDEX(Form_L20!$N$5:$N$52,MATCH(E74,Form_L20!$B$5:$B$52,0))))*8+MIN(1.3,MAX(-0.7,1.3-INDEX(Form_L20!$N$5:$N$52,MATCH(E74,Form_L20!$B$5:$B$52,0))))*6)*INDEX(Form_L20!$Q$5:$Q$52,MATCH(E74,Form_L20!$B$5:$B$52,0))+INDEX(Tactics!$J$5:$J$52,MATCH(E74,Tactics!$B$5:$B$52,0))*0.3+INDEX(Tactics!$H$5:$H$52,MATCH(E74,Tactics!$B$5:$B$52,0))*1.5,1)</f>
        <v>79.7</v>
      </c>
      <c r="H74" s="89" t="n">
        <f aca="false">F74-G74</f>
        <v>-8.8</v>
      </c>
      <c r="I74" s="42" t="n">
        <f aca="false">ROUND((1/(1+10^(-H74/15)))*(1-J74),3)</f>
        <v>0.128</v>
      </c>
      <c r="J74" s="42" t="n">
        <f aca="false">ROUND(MAX(0.19,0.56-ABS(H74)/48),3)</f>
        <v>0.377</v>
      </c>
      <c r="K74" s="42" t="n">
        <f aca="false">ROUND(1-I74-J74,3)</f>
        <v>0.495</v>
      </c>
      <c r="L74" s="90" t="str">
        <f aca="false">IF(AND(J74&gt;=I74,J74&gt;=K74),MAX(0,ROUND((AC74+AD74)/2,0))&amp;" - "&amp;MAX(0,ROUND((AC74+AD74)/2,0)),IF(I74&gt;=K74,MAX(ROUND(AC74+0.35,0),MAX(0,ROUND(AD74-0.15,0))+1)&amp;" - "&amp;MAX(0,ROUND(AD74-0.15,0)),MAX(0,ROUND(AC74-0.15,0))&amp;" - "&amp;MAX(ROUND(AD74+0.35,0),MAX(0,ROUND(AC74-0.15,0))+1)))</f>
        <v>1 - 2</v>
      </c>
      <c r="M74" s="60" t="str">
        <f aca="false">IF(AND(J74&gt;=I74,J74&gt;=K74),"Draw",IF(I74&gt;=K74,D74&amp;" win",E74&amp;" win"))</f>
        <v>Portugal win</v>
      </c>
      <c r="N74" s="42" t="n">
        <f aca="false">MAX(I74,J74,K74)</f>
        <v>0.495</v>
      </c>
      <c r="O74" s="41"/>
      <c r="P74" s="45"/>
      <c r="Q74" s="91"/>
      <c r="R74" s="91"/>
      <c r="S74" s="92" t="str">
        <f aca="false">IF(OR(Q74="",R74=""),"",IF(Q74&gt;R74,D74&amp;" win",IF(R74&gt;Q74,E74&amp;" win","Draw")))</f>
        <v/>
      </c>
      <c r="T74" s="92" t="str">
        <f aca="false">IF(U74="","",CHOOSE(MATCH(U74,{0,5,7,8,9,15},0),"Errou","Apenas Vencedor","Vencedor+Gols","Empate","Vencedor+Saldo","CRAVADA"))</f>
        <v/>
      </c>
      <c r="U74" s="93" t="str">
        <f aca="false">IF(OR(Q74="",R74=""),"",IF(AND(AA74=Q74,AB74=R74),15,IF(AND(AA74=AB74,Q74=R74),8,IF(AND(AA74&gt;AB74,Q74&gt;R74),IF((AA74-AB74)=(Q74-R74),9,IF(AA74=Q74,7,5)),IF(AND(AA74&lt;AB74,Q74&lt;R74),IF((AB74-AA74)=(R74-Q74),9,IF(AB74=R74,7,5)),0)))))</f>
        <v/>
      </c>
      <c r="AA74" s="1" t="n">
        <f aca="false">IFERROR(VALUE(LEFT(L74,FIND(" - ",L74)-1)),"")</f>
        <v>1</v>
      </c>
      <c r="AB74" s="1" t="n">
        <f aca="false">IFERROR(VALUE(MID(L74,FIND(" - ",L74)+3,10)),"")</f>
        <v>2</v>
      </c>
      <c r="AC74" s="1" t="n">
        <f aca="false">INDEX(Form_L20!$M$5:$M$52,MATCH(D74,Form_L20!$B$5:$B$52,0))*0.6+INDEX(Form_L20!$N$5:$N$52,MATCH(E74,Form_L20!$B$5:$B$52,0))*0.4</f>
        <v>1.32</v>
      </c>
      <c r="AD74" s="1" t="n">
        <f aca="false">INDEX(Form_L20!$M$5:$M$52,MATCH(E74,Form_L20!$B$5:$B$52,0))*0.6+INDEX(Form_L20!$N$5:$N$52,MATCH(D74,Form_L20!$B$5:$B$52,0))*0.4</f>
        <v>1.61</v>
      </c>
    </row>
    <row r="75" customFormat="false" ht="15" hidden="false" customHeight="true" outlineLevel="0" collapsed="false">
      <c r="A75" s="85" t="n">
        <v>70</v>
      </c>
      <c r="B75" s="85" t="s">
        <v>143</v>
      </c>
      <c r="C75" s="86" t="n">
        <v>46200</v>
      </c>
      <c r="D75" s="87" t="s">
        <v>148</v>
      </c>
      <c r="E75" s="87" t="s">
        <v>147</v>
      </c>
      <c r="F75" s="88" t="n">
        <f aca="false">ROUND((INDEX(Form_L20!$R$5:$R$52,MATCH(D75,Form_L20!$B$5:$B$52,0))*40+MIN(2,MAX(-2.5,INDEX(Form_L20!$M$5:$M$52,MATCH(D75,Form_L20!$B$5:$B$52,0))-INDEX(Form_L20!$N$5:$N$52,MATCH(D75,Form_L20!$B$5:$B$52,0))))*8+MIN(1.3,MAX(-0.7,1.3-INDEX(Form_L20!$N$5:$N$52,MATCH(D75,Form_L20!$B$5:$B$52,0))))*6)*INDEX(Form_L20!$Q$5:$Q$52,MATCH(D75,Form_L20!$B$5:$B$52,0))+INDEX(Tactics!$J$5:$J$52,MATCH(D75,Tactics!$B$5:$B$52,0))*0.3+INDEX(Tactics!$H$5:$H$52,MATCH(D75,Tactics!$B$5:$B$52,0))*1.5,1)</f>
        <v>62.5</v>
      </c>
      <c r="G75" s="88" t="n">
        <f aca="false">ROUND((INDEX(Form_L20!$R$5:$R$52,MATCH(E75,Form_L20!$B$5:$B$52,0))*40+MIN(2,MAX(-2.5,INDEX(Form_L20!$M$5:$M$52,MATCH(E75,Form_L20!$B$5:$B$52,0))-INDEX(Form_L20!$N$5:$N$52,MATCH(E75,Form_L20!$B$5:$B$52,0))))*8+MIN(1.3,MAX(-0.7,1.3-INDEX(Form_L20!$N$5:$N$52,MATCH(E75,Form_L20!$B$5:$B$52,0))))*6)*INDEX(Form_L20!$Q$5:$Q$52,MATCH(E75,Form_L20!$B$5:$B$52,0))+INDEX(Tactics!$J$5:$J$52,MATCH(E75,Tactics!$B$5:$B$52,0))*0.3+INDEX(Tactics!$H$5:$H$52,MATCH(E75,Tactics!$B$5:$B$52,0))*1.5,1)</f>
        <v>59.1</v>
      </c>
      <c r="H75" s="89" t="n">
        <f aca="false">F75-G75</f>
        <v>3.4</v>
      </c>
      <c r="I75" s="42" t="n">
        <f aca="false">ROUND((1/(1+10^(-H75/15)))*(1-J75),3)</f>
        <v>0.321</v>
      </c>
      <c r="J75" s="42" t="n">
        <f aca="false">ROUND(MAX(0.19,0.56-ABS(H75)/48),3)</f>
        <v>0.489</v>
      </c>
      <c r="K75" s="42" t="n">
        <f aca="false">ROUND(1-I75-J75,3)</f>
        <v>0.19</v>
      </c>
      <c r="L75" s="90" t="str">
        <f aca="false">IF(AND(J75&gt;=I75,J75&gt;=K75),MAX(0,ROUND((AC75+AD75)/2,0))&amp;" - "&amp;MAX(0,ROUND((AC75+AD75)/2,0)),IF(I75&gt;=K75,MAX(ROUND(AC75+0.35,0),MAX(0,ROUND(AD75-0.15,0))+1)&amp;" - "&amp;MAX(0,ROUND(AD75-0.15,0)),MAX(0,ROUND(AC75-0.15,0))&amp;" - "&amp;MAX(ROUND(AD75+0.35,0),MAX(0,ROUND(AC75-0.15,0))+1)))</f>
        <v>1 - 1</v>
      </c>
      <c r="M75" s="60" t="str">
        <f aca="false">IF(AND(J75&gt;=I75,J75&gt;=K75),"Draw",IF(I75&gt;=K75,D75&amp;" win",E75&amp;" win"))</f>
        <v>Draw</v>
      </c>
      <c r="N75" s="42" t="n">
        <f aca="false">MAX(I75,J75,K75)</f>
        <v>0.489</v>
      </c>
      <c r="O75" s="41"/>
      <c r="P75" s="45"/>
      <c r="Q75" s="91"/>
      <c r="R75" s="91"/>
      <c r="S75" s="92" t="str">
        <f aca="false">IF(OR(Q75="",R75=""),"",IF(Q75&gt;R75,D75&amp;" win",IF(R75&gt;Q75,E75&amp;" win","Draw")))</f>
        <v/>
      </c>
      <c r="T75" s="92" t="str">
        <f aca="false">IF(U75="","",CHOOSE(MATCH(U75,{0,5,7,8,9,15},0),"Errou","Apenas Vencedor","Vencedor+Gols","Empate","Vencedor+Saldo","CRAVADA"))</f>
        <v/>
      </c>
      <c r="U75" s="93" t="str">
        <f aca="false">IF(OR(Q75="",R75=""),"",IF(AND(AA75=Q75,AB75=R75),15,IF(AND(AA75=AB75,Q75=R75),8,IF(AND(AA75&gt;AB75,Q75&gt;R75),IF((AA75-AB75)=(Q75-R75),9,IF(AA75=Q75,7,5)),IF(AND(AA75&lt;AB75,Q75&lt;R75),IF((AB75-AA75)=(R75-Q75),9,IF(AB75=R75,7,5)),0)))))</f>
        <v/>
      </c>
      <c r="AA75" s="1" t="n">
        <f aca="false">IFERROR(VALUE(LEFT(L75,FIND(" - ",L75)-1)),"")</f>
        <v>1</v>
      </c>
      <c r="AB75" s="1" t="n">
        <f aca="false">IFERROR(VALUE(MID(L75,FIND(" - ",L75)+3,10)),"")</f>
        <v>1</v>
      </c>
      <c r="AC75" s="1" t="n">
        <f aca="false">INDEX(Form_L20!$M$5:$M$52,MATCH(D75,Form_L20!$B$5:$B$52,0))*0.6+INDEX(Form_L20!$N$5:$N$52,MATCH(E75,Form_L20!$B$5:$B$52,0))*0.4</f>
        <v>1.17</v>
      </c>
      <c r="AD75" s="1" t="n">
        <f aca="false">INDEX(Form_L20!$M$5:$M$52,MATCH(E75,Form_L20!$B$5:$B$52,0))*0.6+INDEX(Form_L20!$N$5:$N$52,MATCH(D75,Form_L20!$B$5:$B$52,0))*0.4</f>
        <v>1.16666666666667</v>
      </c>
    </row>
    <row r="76" customFormat="false" ht="15" hidden="false" customHeight="true" outlineLevel="0" collapsed="false">
      <c r="A76" s="85" t="n">
        <v>71</v>
      </c>
      <c r="B76" s="85" t="s">
        <v>135</v>
      </c>
      <c r="C76" s="86" t="n">
        <v>46200</v>
      </c>
      <c r="D76" s="87" t="s">
        <v>141</v>
      </c>
      <c r="E76" s="87" t="s">
        <v>134</v>
      </c>
      <c r="F76" s="88" t="n">
        <f aca="false">ROUND((INDEX(Form_L20!$R$5:$R$52,MATCH(D76,Form_L20!$B$5:$B$52,0))*40+MIN(2,MAX(-2.5,INDEX(Form_L20!$M$5:$M$52,MATCH(D76,Form_L20!$B$5:$B$52,0))-INDEX(Form_L20!$N$5:$N$52,MATCH(D76,Form_L20!$B$5:$B$52,0))))*8+MIN(1.3,MAX(-0.7,1.3-INDEX(Form_L20!$N$5:$N$52,MATCH(D76,Form_L20!$B$5:$B$52,0))))*6)*INDEX(Form_L20!$Q$5:$Q$52,MATCH(D76,Form_L20!$B$5:$B$52,0))+INDEX(Tactics!$J$5:$J$52,MATCH(D76,Tactics!$B$5:$B$52,0))*0.3+INDEX(Tactics!$H$5:$H$52,MATCH(D76,Tactics!$B$5:$B$52,0))*1.5,1)</f>
        <v>52.5</v>
      </c>
      <c r="G76" s="88" t="n">
        <f aca="false">ROUND((INDEX(Form_L20!$R$5:$R$52,MATCH(E76,Form_L20!$B$5:$B$52,0))*40+MIN(2,MAX(-2.5,INDEX(Form_L20!$M$5:$M$52,MATCH(E76,Form_L20!$B$5:$B$52,0))-INDEX(Form_L20!$N$5:$N$52,MATCH(E76,Form_L20!$B$5:$B$52,0))))*8+MIN(1.3,MAX(-0.7,1.3-INDEX(Form_L20!$N$5:$N$52,MATCH(E76,Form_L20!$B$5:$B$52,0))))*6)*INDEX(Form_L20!$Q$5:$Q$52,MATCH(E76,Form_L20!$B$5:$B$52,0))+INDEX(Tactics!$J$5:$J$52,MATCH(E76,Tactics!$B$5:$B$52,0))*0.3+INDEX(Tactics!$H$5:$H$52,MATCH(E76,Tactics!$B$5:$B$52,0))*1.5,1)</f>
        <v>82.6</v>
      </c>
      <c r="H76" s="89" t="n">
        <f aca="false">F76-G76</f>
        <v>-30.1</v>
      </c>
      <c r="I76" s="42" t="n">
        <f aca="false">ROUND((1/(1+10^(-H76/15)))*(1-J76),3)</f>
        <v>0.008</v>
      </c>
      <c r="J76" s="42" t="n">
        <f aca="false">ROUND(MAX(0.19,0.56-ABS(H76)/48),3)</f>
        <v>0.19</v>
      </c>
      <c r="K76" s="42" t="n">
        <f aca="false">ROUND(1-I76-J76,3)</f>
        <v>0.802</v>
      </c>
      <c r="L76" s="90" t="str">
        <f aca="false">IF(AND(J76&gt;=I76,J76&gt;=K76),MAX(0,ROUND((AC76+AD76)/2,0))&amp;" - "&amp;MAX(0,ROUND((AC76+AD76)/2,0)),IF(I76&gt;=K76,MAX(ROUND(AC76+0.35,0),MAX(0,ROUND(AD76-0.15,0))+1)&amp;" - "&amp;MAX(0,ROUND(AD76-0.15,0)),MAX(0,ROUND(AC76-0.15,0))&amp;" - "&amp;MAX(ROUND(AD76+0.35,0),MAX(0,ROUND(AC76-0.15,0))+1)))</f>
        <v>1 - 2</v>
      </c>
      <c r="M76" s="60" t="str">
        <f aca="false">IF(AND(J76&gt;=I76,J76&gt;=K76),"Draw",IF(I76&gt;=K76,D76&amp;" win",E76&amp;" win"))</f>
        <v>Argentina win</v>
      </c>
      <c r="N76" s="42" t="n">
        <f aca="false">MAX(I76,J76,K76)</f>
        <v>0.802</v>
      </c>
      <c r="O76" s="41"/>
      <c r="P76" s="45"/>
      <c r="Q76" s="91"/>
      <c r="R76" s="91"/>
      <c r="S76" s="92" t="str">
        <f aca="false">IF(OR(Q76="",R76=""),"",IF(Q76&gt;R76,D76&amp;" win",IF(R76&gt;Q76,E76&amp;" win","Draw")))</f>
        <v/>
      </c>
      <c r="T76" s="92" t="str">
        <f aca="false">IF(U76="","",CHOOSE(MATCH(U76,{0,5,7,8,9,15},0),"Errou","Apenas Vencedor","Vencedor+Gols","Empate","Vencedor+Saldo","CRAVADA"))</f>
        <v/>
      </c>
      <c r="U76" s="93" t="str">
        <f aca="false">IF(OR(Q76="",R76=""),"",IF(AND(AA76=Q76,AB76=R76),15,IF(AND(AA76=AB76,Q76=R76),8,IF(AND(AA76&gt;AB76,Q76&gt;R76),IF((AA76-AB76)=(Q76-R76),9,IF(AA76=Q76,7,5)),IF(AND(AA76&lt;AB76,Q76&lt;R76),IF((AB76-AA76)=(R76-Q76),9,IF(AB76=R76,7,5)),0)))))</f>
        <v/>
      </c>
      <c r="AA76" s="1" t="n">
        <f aca="false">IFERROR(VALUE(LEFT(L76,FIND(" - ",L76)-1)),"")</f>
        <v>1</v>
      </c>
      <c r="AB76" s="1" t="n">
        <f aca="false">IFERROR(VALUE(MID(L76,FIND(" - ",L76)+3,10)),"")</f>
        <v>2</v>
      </c>
      <c r="AC76" s="1" t="n">
        <f aca="false">INDEX(Form_L20!$M$5:$M$52,MATCH(D76,Form_L20!$B$5:$B$52,0))*0.6+INDEX(Form_L20!$N$5:$N$52,MATCH(E76,Form_L20!$B$5:$B$52,0))*0.4</f>
        <v>1.38</v>
      </c>
      <c r="AD76" s="1" t="n">
        <f aca="false">INDEX(Form_L20!$M$5:$M$52,MATCH(E76,Form_L20!$B$5:$B$52,0))*0.6+INDEX(Form_L20!$N$5:$N$52,MATCH(D76,Form_L20!$B$5:$B$52,0))*0.4</f>
        <v>1.72</v>
      </c>
    </row>
    <row r="77" customFormat="false" ht="15" hidden="false" customHeight="true" outlineLevel="0" collapsed="false">
      <c r="A77" s="85" t="n">
        <v>72</v>
      </c>
      <c r="B77" s="85" t="s">
        <v>135</v>
      </c>
      <c r="C77" s="86" t="n">
        <v>46200</v>
      </c>
      <c r="D77" s="87" t="s">
        <v>139</v>
      </c>
      <c r="E77" s="87" t="s">
        <v>137</v>
      </c>
      <c r="F77" s="88" t="n">
        <f aca="false">ROUND((INDEX(Form_L20!$R$5:$R$52,MATCH(D77,Form_L20!$B$5:$B$52,0))*40+MIN(2,MAX(-2.5,INDEX(Form_L20!$M$5:$M$52,MATCH(D77,Form_L20!$B$5:$B$52,0))-INDEX(Form_L20!$N$5:$N$52,MATCH(D77,Form_L20!$B$5:$B$52,0))))*8+MIN(1.3,MAX(-0.7,1.3-INDEX(Form_L20!$N$5:$N$52,MATCH(D77,Form_L20!$B$5:$B$52,0))))*6)*INDEX(Form_L20!$Q$5:$Q$52,MATCH(D77,Form_L20!$B$5:$B$52,0))+INDEX(Tactics!$J$5:$J$52,MATCH(D77,Tactics!$B$5:$B$52,0))*0.3+INDEX(Tactics!$H$5:$H$52,MATCH(D77,Tactics!$B$5:$B$52,0))*1.5,1)</f>
        <v>73.8</v>
      </c>
      <c r="G77" s="88" t="n">
        <f aca="false">ROUND((INDEX(Form_L20!$R$5:$R$52,MATCH(E77,Form_L20!$B$5:$B$52,0))*40+MIN(2,MAX(-2.5,INDEX(Form_L20!$M$5:$M$52,MATCH(E77,Form_L20!$B$5:$B$52,0))-INDEX(Form_L20!$N$5:$N$52,MATCH(E77,Form_L20!$B$5:$B$52,0))))*8+MIN(1.3,MAX(-0.7,1.3-INDEX(Form_L20!$N$5:$N$52,MATCH(E77,Form_L20!$B$5:$B$52,0))))*6)*INDEX(Form_L20!$Q$5:$Q$52,MATCH(E77,Form_L20!$B$5:$B$52,0))+INDEX(Tactics!$J$5:$J$52,MATCH(E77,Tactics!$B$5:$B$52,0))*0.3+INDEX(Tactics!$H$5:$H$52,MATCH(E77,Tactics!$B$5:$B$52,0))*1.5,1)</f>
        <v>89.4</v>
      </c>
      <c r="H77" s="89" t="n">
        <f aca="false">F77-G77</f>
        <v>-15.6</v>
      </c>
      <c r="I77" s="42" t="n">
        <f aca="false">ROUND((1/(1+10^(-H77/15)))*(1-J77),3)</f>
        <v>0.064</v>
      </c>
      <c r="J77" s="42" t="n">
        <f aca="false">ROUND(MAX(0.19,0.56-ABS(H77)/48),3)</f>
        <v>0.235</v>
      </c>
      <c r="K77" s="42" t="n">
        <f aca="false">ROUND(1-I77-J77,3)</f>
        <v>0.701</v>
      </c>
      <c r="L77" s="90" t="str">
        <f aca="false">IF(AND(J77&gt;=I77,J77&gt;=K77),MAX(0,ROUND((AC77+AD77)/2,0))&amp;" - "&amp;MAX(0,ROUND((AC77+AD77)/2,0)),IF(I77&gt;=K77,MAX(ROUND(AC77+0.35,0),MAX(0,ROUND(AD77-0.15,0))+1)&amp;" - "&amp;MAX(0,ROUND(AD77-0.15,0)),MAX(0,ROUND(AC77-0.15,0))&amp;" - "&amp;MAX(ROUND(AD77+0.35,0),MAX(0,ROUND(AC77-0.15,0))+1)))</f>
        <v>1 - 2</v>
      </c>
      <c r="M77" s="60" t="str">
        <f aca="false">IF(AND(J77&gt;=I77,J77&gt;=K77),"Draw",IF(I77&gt;=K77,D77&amp;" win",E77&amp;" win"))</f>
        <v>Austria win</v>
      </c>
      <c r="N77" s="42" t="n">
        <f aca="false">MAX(I77,J77,K77)</f>
        <v>0.701</v>
      </c>
      <c r="O77" s="41"/>
      <c r="P77" s="45"/>
      <c r="Q77" s="91"/>
      <c r="R77" s="91"/>
      <c r="S77" s="92" t="str">
        <f aca="false">IF(OR(Q77="",R77=""),"",IF(Q77&gt;R77,D77&amp;" win",IF(R77&gt;Q77,E77&amp;" win","Draw")))</f>
        <v/>
      </c>
      <c r="T77" s="92" t="str">
        <f aca="false">IF(U77="","",CHOOSE(MATCH(U77,{0,5,7,8,9,15},0),"Errou","Apenas Vencedor","Vencedor+Gols","Empate","Vencedor+Saldo","CRAVADA"))</f>
        <v/>
      </c>
      <c r="U77" s="93" t="str">
        <f aca="false">IF(OR(Q77="",R77=""),"",IF(AND(AA77=Q77,AB77=R77),15,IF(AND(AA77=AB77,Q77=R77),8,IF(AND(AA77&gt;AB77,Q77&gt;R77),IF((AA77-AB77)=(Q77-R77),9,IF(AA77=Q77,7,5)),IF(AND(AA77&lt;AB77,Q77&lt;R77),IF((AB77-AA77)=(R77-Q77),9,IF(AB77=R77,7,5)),0)))))</f>
        <v/>
      </c>
      <c r="AA77" s="1" t="n">
        <f aca="false">IFERROR(VALUE(LEFT(L77,FIND(" - ",L77)-1)),"")</f>
        <v>1</v>
      </c>
      <c r="AB77" s="1" t="n">
        <f aca="false">IFERROR(VALUE(MID(L77,FIND(" - ",L77)+3,10)),"")</f>
        <v>2</v>
      </c>
      <c r="AC77" s="1" t="n">
        <f aca="false">INDEX(Form_L20!$M$5:$M$52,MATCH(D77,Form_L20!$B$5:$B$52,0))*0.6+INDEX(Form_L20!$N$5:$N$52,MATCH(E77,Form_L20!$B$5:$B$52,0))*0.4</f>
        <v>1.64</v>
      </c>
      <c r="AD77" s="1" t="n">
        <f aca="false">INDEX(Form_L20!$M$5:$M$52,MATCH(E77,Form_L20!$B$5:$B$52,0))*0.6+INDEX(Form_L20!$N$5:$N$52,MATCH(D77,Form_L20!$B$5:$B$52,0))*0.4</f>
        <v>1.97</v>
      </c>
    </row>
    <row r="80" customFormat="false" ht="21.75" hidden="false" customHeight="true" outlineLevel="0" collapsed="false">
      <c r="A80" s="72" t="s">
        <v>579</v>
      </c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</row>
    <row r="81" customFormat="false" ht="36" hidden="false" customHeight="true" outlineLevel="0" collapsed="false">
      <c r="A81" s="97" t="s">
        <v>580</v>
      </c>
      <c r="B81" s="97"/>
      <c r="C81" s="97"/>
      <c r="D81" s="97"/>
      <c r="E81" s="97"/>
      <c r="F81" s="97"/>
      <c r="G81" s="97"/>
      <c r="H81" s="97"/>
      <c r="I81" s="97"/>
      <c r="J81" s="97"/>
      <c r="K81" s="97"/>
      <c r="L81" s="97"/>
      <c r="M81" s="97"/>
      <c r="N81" s="97"/>
      <c r="O81" s="97"/>
      <c r="P81" s="97"/>
    </row>
  </sheetData>
  <mergeCells count="16">
    <mergeCell ref="A1:P1"/>
    <mergeCell ref="A2:P2"/>
    <mergeCell ref="A3:P3"/>
    <mergeCell ref="A4:P4"/>
    <mergeCell ref="W4:Y4"/>
    <mergeCell ref="W5:X5"/>
    <mergeCell ref="W6:X6"/>
    <mergeCell ref="W7:X7"/>
    <mergeCell ref="W8:X8"/>
    <mergeCell ref="W9:X9"/>
    <mergeCell ref="W10:X10"/>
    <mergeCell ref="W11:X11"/>
    <mergeCell ref="W12:X12"/>
    <mergeCell ref="W13:X13"/>
    <mergeCell ref="A80:P80"/>
    <mergeCell ref="A81:P81"/>
  </mergeCells>
  <conditionalFormatting sqref="H6:H77">
    <cfRule type="colorScale" priority="2">
      <colorScale>
        <cfvo type="min" val="0"/>
        <cfvo type="num" val="0"/>
        <cfvo type="max" val="0"/>
        <color rgb="FFF8696B"/>
        <color rgb="FFFFFFFF"/>
        <color rgb="FF63BE7B"/>
      </colorScale>
    </cfRule>
  </conditionalFormatting>
  <conditionalFormatting sqref="I6:I77">
    <cfRule type="dataBar" priority="3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{B7B66840-981F-42EB-A350-151DAE77673A}</x14:id>
        </ext>
      </extLst>
    </cfRule>
  </conditionalFormatting>
  <conditionalFormatting sqref="K6:K77">
    <cfRule type="dataBar" priority="4">
      <dataBar showValue="1" minLength="10" maxLength="90"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{D56910A0-FD90-46CB-984B-3A2DDD9E8576}</x14:id>
        </ext>
      </extLst>
    </cfRule>
  </conditionalFormatting>
  <conditionalFormatting sqref="N6:N77">
    <cfRule type="colorScale" priority="5">
      <colorScale>
        <cfvo type="min" val="0"/>
        <cfvo type="percentile" val="50"/>
        <cfvo type="max" val="0"/>
        <color rgb="FFFCE4D6"/>
        <color rgb="FFFFEB84"/>
        <color rgb="FFC6EFCE"/>
      </colorScale>
    </cfRule>
  </conditionalFormatting>
  <conditionalFormatting sqref="T6:T77">
    <cfRule type="cellIs" priority="6" operator="equal" aboveAverage="0" equalAverage="0" bottom="0" percent="0" rank="0" text="" dxfId="2">
      <formula>1</formula>
    </cfRule>
    <cfRule type="cellIs" priority="7" operator="equal" aboveAverage="0" equalAverage="0" bottom="0" percent="0" rank="0" text="" dxfId="3">
      <formula>0</formula>
    </cfRule>
  </conditionalFormatting>
  <conditionalFormatting sqref="U6:U77">
    <cfRule type="cellIs" priority="8" operator="equal" aboveAverage="0" equalAverage="0" bottom="0" percent="0" rank="0" text="" dxfId="4">
      <formula>15</formula>
    </cfRule>
    <cfRule type="cellIs" priority="9" operator="between" aboveAverage="0" equalAverage="0" bottom="0" percent="0" rank="0" text="" dxfId="2">
      <formula>7</formula>
      <formula>9</formula>
    </cfRule>
    <cfRule type="cellIs" priority="10" operator="equal" aboveAverage="0" equalAverage="0" bottom="0" percent="0" rank="0" text="" dxfId="5">
      <formula>5</formula>
    </cfRule>
    <cfRule type="cellIs" priority="11" operator="equal" aboveAverage="0" equalAverage="0" bottom="0" percent="0" rank="0" text="" dxfId="3">
      <formula>0</formula>
    </cfRule>
  </conditionalFormatting>
  <dataValidations count="72">
    <dataValidation allowBlank="true" errorStyle="stop" operator="between" showDropDown="false" showErrorMessage="false" showInputMessage="false" sqref="O6" type="list">
      <formula1>"Mexico win,Draw,South Korea win"</formula1>
      <formula2>0</formula2>
    </dataValidation>
    <dataValidation allowBlank="true" errorStyle="stop" operator="between" showDropDown="false" showErrorMessage="false" showInputMessage="false" sqref="O7" type="list">
      <formula1>"South Africa win,Draw,Czechia win"</formula1>
      <formula2>0</formula2>
    </dataValidation>
    <dataValidation allowBlank="true" errorStyle="stop" operator="between" showDropDown="false" showErrorMessage="false" showInputMessage="false" sqref="O8" type="list">
      <formula1>"Mexico win,Draw,South Africa win"</formula1>
      <formula2>0</formula2>
    </dataValidation>
    <dataValidation allowBlank="true" errorStyle="stop" operator="between" showDropDown="false" showErrorMessage="false" showInputMessage="false" sqref="O9" type="list">
      <formula1>"South Korea win,Draw,Czechia win"</formula1>
      <formula2>0</formula2>
    </dataValidation>
    <dataValidation allowBlank="true" errorStyle="stop" operator="between" showDropDown="false" showErrorMessage="false" showInputMessage="false" sqref="O10" type="list">
      <formula1>"Mexico win,Draw,Czechia win"</formula1>
      <formula2>0</formula2>
    </dataValidation>
    <dataValidation allowBlank="true" errorStyle="stop" operator="between" showDropDown="false" showErrorMessage="false" showInputMessage="false" sqref="O11" type="list">
      <formula1>"South Korea win,Draw,South Africa win"</formula1>
      <formula2>0</formula2>
    </dataValidation>
    <dataValidation allowBlank="true" errorStyle="stop" operator="between" showDropDown="false" showErrorMessage="false" showInputMessage="false" sqref="O12" type="list">
      <formula1>"Canada win,Draw,Switzerland win"</formula1>
      <formula2>0</formula2>
    </dataValidation>
    <dataValidation allowBlank="true" errorStyle="stop" operator="between" showDropDown="false" showErrorMessage="false" showInputMessage="false" sqref="O13" type="list">
      <formula1>"Qatar win,Draw,Bosnia and Herzegovina win"</formula1>
      <formula2>0</formula2>
    </dataValidation>
    <dataValidation allowBlank="true" errorStyle="stop" operator="between" showDropDown="false" showErrorMessage="false" showInputMessage="false" sqref="O14" type="list">
      <formula1>"Canada win,Draw,Qatar win"</formula1>
      <formula2>0</formula2>
    </dataValidation>
    <dataValidation allowBlank="true" errorStyle="stop" operator="between" showDropDown="false" showErrorMessage="false" showInputMessage="false" sqref="O15" type="list">
      <formula1>"Switzerland win,Draw,Bosnia and Herzegovina win"</formula1>
      <formula2>0</formula2>
    </dataValidation>
    <dataValidation allowBlank="true" errorStyle="stop" operator="between" showDropDown="false" showErrorMessage="false" showInputMessage="false" sqref="O16" type="list">
      <formula1>"Canada win,Draw,Bosnia and Herzegovina win"</formula1>
      <formula2>0</formula2>
    </dataValidation>
    <dataValidation allowBlank="true" errorStyle="stop" operator="between" showDropDown="false" showErrorMessage="false" showInputMessage="false" sqref="O17" type="list">
      <formula1>"Switzerland win,Draw,Qatar win"</formula1>
      <formula2>0</formula2>
    </dataValidation>
    <dataValidation allowBlank="true" errorStyle="stop" operator="between" showDropDown="false" showErrorMessage="false" showInputMessage="false" sqref="O18" type="list">
      <formula1>"Brazil win,Draw,Morocco win"</formula1>
      <formula2>0</formula2>
    </dataValidation>
    <dataValidation allowBlank="true" errorStyle="stop" operator="between" showDropDown="false" showErrorMessage="false" showInputMessage="false" sqref="O19" type="list">
      <formula1>"Scotland win,Draw,Haiti win"</formula1>
      <formula2>0</formula2>
    </dataValidation>
    <dataValidation allowBlank="true" errorStyle="stop" operator="between" showDropDown="false" showErrorMessage="false" showInputMessage="false" sqref="O20" type="list">
      <formula1>"Brazil win,Draw,Scotland win"</formula1>
      <formula2>0</formula2>
    </dataValidation>
    <dataValidation allowBlank="true" errorStyle="stop" operator="between" showDropDown="false" showErrorMessage="false" showInputMessage="false" sqref="O21" type="list">
      <formula1>"Morocco win,Draw,Haiti win"</formula1>
      <formula2>0</formula2>
    </dataValidation>
    <dataValidation allowBlank="true" errorStyle="stop" operator="between" showDropDown="false" showErrorMessage="false" showInputMessage="false" sqref="O22" type="list">
      <formula1>"Brazil win,Draw,Haiti win"</formula1>
      <formula2>0</formula2>
    </dataValidation>
    <dataValidation allowBlank="true" errorStyle="stop" operator="between" showDropDown="false" showErrorMessage="false" showInputMessage="false" sqref="O23" type="list">
      <formula1>"Morocco win,Draw,Scotland win"</formula1>
      <formula2>0</formula2>
    </dataValidation>
    <dataValidation allowBlank="true" errorStyle="stop" operator="between" showDropDown="false" showErrorMessage="false" showInputMessage="false" sqref="O24" type="list">
      <formula1>"United States win,Draw,Paraguay win"</formula1>
      <formula2>0</formula2>
    </dataValidation>
    <dataValidation allowBlank="true" errorStyle="stop" operator="between" showDropDown="false" showErrorMessage="false" showInputMessage="false" sqref="O25" type="list">
      <formula1>"Australia win,Draw,Türkiye win"</formula1>
      <formula2>0</formula2>
    </dataValidation>
    <dataValidation allowBlank="true" errorStyle="stop" operator="between" showDropDown="false" showErrorMessage="false" showInputMessage="false" sqref="O26" type="list">
      <formula1>"United States win,Draw,Australia win"</formula1>
      <formula2>0</formula2>
    </dataValidation>
    <dataValidation allowBlank="true" errorStyle="stop" operator="between" showDropDown="false" showErrorMessage="false" showInputMessage="false" sqref="O27" type="list">
      <formula1>"Paraguay win,Draw,Türkiye win"</formula1>
      <formula2>0</formula2>
    </dataValidation>
    <dataValidation allowBlank="true" errorStyle="stop" operator="between" showDropDown="false" showErrorMessage="false" showInputMessage="false" sqref="O28" type="list">
      <formula1>"United States win,Draw,Türkiye win"</formula1>
      <formula2>0</formula2>
    </dataValidation>
    <dataValidation allowBlank="true" errorStyle="stop" operator="between" showDropDown="false" showErrorMessage="false" showInputMessage="false" sqref="O29" type="list">
      <formula1>"Paraguay win,Draw,Australia win"</formula1>
      <formula2>0</formula2>
    </dataValidation>
    <dataValidation allowBlank="true" errorStyle="stop" operator="between" showDropDown="false" showErrorMessage="false" showInputMessage="false" sqref="O30" type="list">
      <formula1>"Germany win,Draw,Ecuador win"</formula1>
      <formula2>0</formula2>
    </dataValidation>
    <dataValidation allowBlank="true" errorStyle="stop" operator="between" showDropDown="false" showErrorMessage="false" showInputMessage="false" sqref="O31" type="list">
      <formula1>"Ivory Coast win,Draw,Curaçao win"</formula1>
      <formula2>0</formula2>
    </dataValidation>
    <dataValidation allowBlank="true" errorStyle="stop" operator="between" showDropDown="false" showErrorMessage="false" showInputMessage="false" sqref="O32" type="list">
      <formula1>"Germany win,Draw,Ivory Coast win"</formula1>
      <formula2>0</formula2>
    </dataValidation>
    <dataValidation allowBlank="true" errorStyle="stop" operator="between" showDropDown="false" showErrorMessage="false" showInputMessage="false" sqref="O33" type="list">
      <formula1>"Ecuador win,Draw,Curaçao win"</formula1>
      <formula2>0</formula2>
    </dataValidation>
    <dataValidation allowBlank="true" errorStyle="stop" operator="between" showDropDown="false" showErrorMessage="false" showInputMessage="false" sqref="O34" type="list">
      <formula1>"Germany win,Draw,Curaçao win"</formula1>
      <formula2>0</formula2>
    </dataValidation>
    <dataValidation allowBlank="true" errorStyle="stop" operator="between" showDropDown="false" showErrorMessage="false" showInputMessage="false" sqref="O35" type="list">
      <formula1>"Ecuador win,Draw,Ivory Coast win"</formula1>
      <formula2>0</formula2>
    </dataValidation>
    <dataValidation allowBlank="true" errorStyle="stop" operator="between" showDropDown="false" showErrorMessage="false" showInputMessage="false" sqref="O36" type="list">
      <formula1>"Netherlands win,Draw,Japan win"</formula1>
      <formula2>0</formula2>
    </dataValidation>
    <dataValidation allowBlank="true" errorStyle="stop" operator="between" showDropDown="false" showErrorMessage="false" showInputMessage="false" sqref="O37" type="list">
      <formula1>"Tunisia win,Draw,Sweden win"</formula1>
      <formula2>0</formula2>
    </dataValidation>
    <dataValidation allowBlank="true" errorStyle="stop" operator="between" showDropDown="false" showErrorMessage="false" showInputMessage="false" sqref="O38" type="list">
      <formula1>"Netherlands win,Draw,Tunisia win"</formula1>
      <formula2>0</formula2>
    </dataValidation>
    <dataValidation allowBlank="true" errorStyle="stop" operator="between" showDropDown="false" showErrorMessage="false" showInputMessage="false" sqref="O39" type="list">
      <formula1>"Japan win,Draw,Sweden win"</formula1>
      <formula2>0</formula2>
    </dataValidation>
    <dataValidation allowBlank="true" errorStyle="stop" operator="between" showDropDown="false" showErrorMessage="false" showInputMessage="false" sqref="O40" type="list">
      <formula1>"Netherlands win,Draw,Sweden win"</formula1>
      <formula2>0</formula2>
    </dataValidation>
    <dataValidation allowBlank="true" errorStyle="stop" operator="between" showDropDown="false" showErrorMessage="false" showInputMessage="false" sqref="O41" type="list">
      <formula1>"Japan win,Draw,Tunisia win"</formula1>
      <formula2>0</formula2>
    </dataValidation>
    <dataValidation allowBlank="true" errorStyle="stop" operator="between" showDropDown="false" showErrorMessage="false" showInputMessage="false" sqref="O42" type="list">
      <formula1>"Belgium win,Draw,Iran win"</formula1>
      <formula2>0</formula2>
    </dataValidation>
    <dataValidation allowBlank="true" errorStyle="stop" operator="between" showDropDown="false" showErrorMessage="false" showInputMessage="false" sqref="O43" type="list">
      <formula1>"Egypt win,Draw,New Zealand win"</formula1>
      <formula2>0</formula2>
    </dataValidation>
    <dataValidation allowBlank="true" errorStyle="stop" operator="between" showDropDown="false" showErrorMessage="false" showInputMessage="false" sqref="O44" type="list">
      <formula1>"Belgium win,Draw,Egypt win"</formula1>
      <formula2>0</formula2>
    </dataValidation>
    <dataValidation allowBlank="true" errorStyle="stop" operator="between" showDropDown="false" showErrorMessage="false" showInputMessage="false" sqref="O45" type="list">
      <formula1>"Iran win,Draw,New Zealand win"</formula1>
      <formula2>0</formula2>
    </dataValidation>
    <dataValidation allowBlank="true" errorStyle="stop" operator="between" showDropDown="false" showErrorMessage="false" showInputMessage="false" sqref="O46" type="list">
      <formula1>"Belgium win,Draw,New Zealand win"</formula1>
      <formula2>0</formula2>
    </dataValidation>
    <dataValidation allowBlank="true" errorStyle="stop" operator="between" showDropDown="false" showErrorMessage="false" showInputMessage="false" sqref="O47" type="list">
      <formula1>"Iran win,Draw,Egypt win"</formula1>
      <formula2>0</formula2>
    </dataValidation>
    <dataValidation allowBlank="true" errorStyle="stop" operator="between" showDropDown="false" showErrorMessage="false" showInputMessage="false" sqref="O48" type="list">
      <formula1>"Spain win,Draw,Uruguay win"</formula1>
      <formula2>0</formula2>
    </dataValidation>
    <dataValidation allowBlank="true" errorStyle="stop" operator="between" showDropDown="false" showErrorMessage="false" showInputMessage="false" sqref="O49" type="list">
      <formula1>"Saudi Arabia win,Draw,Cape Verde win"</formula1>
      <formula2>0</formula2>
    </dataValidation>
    <dataValidation allowBlank="true" errorStyle="stop" operator="between" showDropDown="false" showErrorMessage="false" showInputMessage="false" sqref="O50" type="list">
      <formula1>"Spain win,Draw,Saudi Arabia win"</formula1>
      <formula2>0</formula2>
    </dataValidation>
    <dataValidation allowBlank="true" errorStyle="stop" operator="between" showDropDown="false" showErrorMessage="false" showInputMessage="false" sqref="O51" type="list">
      <formula1>"Uruguay win,Draw,Cape Verde win"</formula1>
      <formula2>0</formula2>
    </dataValidation>
    <dataValidation allowBlank="true" errorStyle="stop" operator="between" showDropDown="false" showErrorMessage="false" showInputMessage="false" sqref="O52" type="list">
      <formula1>"Spain win,Draw,Cape Verde win"</formula1>
      <formula2>0</formula2>
    </dataValidation>
    <dataValidation allowBlank="true" errorStyle="stop" operator="between" showDropDown="false" showErrorMessage="false" showInputMessage="false" sqref="O53" type="list">
      <formula1>"Uruguay win,Draw,Saudi Arabia win"</formula1>
      <formula2>0</formula2>
    </dataValidation>
    <dataValidation allowBlank="true" errorStyle="stop" operator="between" showDropDown="false" showErrorMessage="false" showInputMessage="false" sqref="O54" type="list">
      <formula1>"France win,Draw,Senegal win"</formula1>
      <formula2>0</formula2>
    </dataValidation>
    <dataValidation allowBlank="true" errorStyle="stop" operator="between" showDropDown="false" showErrorMessage="false" showInputMessage="false" sqref="O55" type="list">
      <formula1>"Norway win,Draw,Iraq win"</formula1>
      <formula2>0</formula2>
    </dataValidation>
    <dataValidation allowBlank="true" errorStyle="stop" operator="between" showDropDown="false" showErrorMessage="false" showInputMessage="false" sqref="O56" type="list">
      <formula1>"France win,Draw,Norway win"</formula1>
      <formula2>0</formula2>
    </dataValidation>
    <dataValidation allowBlank="true" errorStyle="stop" operator="between" showDropDown="false" showErrorMessage="false" showInputMessage="false" sqref="O57" type="list">
      <formula1>"Senegal win,Draw,Iraq win"</formula1>
      <formula2>0</formula2>
    </dataValidation>
    <dataValidation allowBlank="true" errorStyle="stop" operator="between" showDropDown="false" showErrorMessage="false" showInputMessage="false" sqref="O58" type="list">
      <formula1>"France win,Draw,Iraq win"</formula1>
      <formula2>0</formula2>
    </dataValidation>
    <dataValidation allowBlank="true" errorStyle="stop" operator="between" showDropDown="false" showErrorMessage="false" showInputMessage="false" sqref="O59" type="list">
      <formula1>"Senegal win,Draw,Norway win"</formula1>
      <formula2>0</formula2>
    </dataValidation>
    <dataValidation allowBlank="true" errorStyle="stop" operator="between" showDropDown="false" showErrorMessage="false" showInputMessage="false" sqref="O60" type="list">
      <formula1>"Argentina win,Draw,Austria win"</formula1>
      <formula2>0</formula2>
    </dataValidation>
    <dataValidation allowBlank="true" errorStyle="stop" operator="between" showDropDown="false" showErrorMessage="false" showInputMessage="false" sqref="O61" type="list">
      <formula1>"Algeria win,Draw,Jordan win"</formula1>
      <formula2>0</formula2>
    </dataValidation>
    <dataValidation allowBlank="true" errorStyle="stop" operator="between" showDropDown="false" showErrorMessage="false" showInputMessage="false" sqref="O62" type="list">
      <formula1>"Argentina win,Draw,Algeria win"</formula1>
      <formula2>0</formula2>
    </dataValidation>
    <dataValidation allowBlank="true" errorStyle="stop" operator="between" showDropDown="false" showErrorMessage="false" showInputMessage="false" sqref="O63" type="list">
      <formula1>"Austria win,Draw,Jordan win"</formula1>
      <formula2>0</formula2>
    </dataValidation>
    <dataValidation allowBlank="true" errorStyle="stop" operator="between" showDropDown="false" showErrorMessage="false" showInputMessage="false" sqref="O64" type="list">
      <formula1>"Argentina win,Draw,Jordan win"</formula1>
      <formula2>0</formula2>
    </dataValidation>
    <dataValidation allowBlank="true" errorStyle="stop" operator="between" showDropDown="false" showErrorMessage="false" showInputMessage="false" sqref="O65" type="list">
      <formula1>"Austria win,Draw,Algeria win"</formula1>
      <formula2>0</formula2>
    </dataValidation>
    <dataValidation allowBlank="true" errorStyle="stop" operator="between" showDropDown="false" showErrorMessage="false" showInputMessage="false" sqref="O66" type="list">
      <formula1>"Portugal win,Draw,Colombia win"</formula1>
      <formula2>0</formula2>
    </dataValidation>
    <dataValidation allowBlank="true" errorStyle="stop" operator="between" showDropDown="false" showErrorMessage="false" showInputMessage="false" sqref="O67" type="list">
      <formula1>"Uzbekistan win,Draw,DR Congo win"</formula1>
      <formula2>0</formula2>
    </dataValidation>
    <dataValidation allowBlank="true" errorStyle="stop" operator="between" showDropDown="false" showErrorMessage="false" showInputMessage="false" sqref="O68" type="list">
      <formula1>"Portugal win,Draw,Uzbekistan win"</formula1>
      <formula2>0</formula2>
    </dataValidation>
    <dataValidation allowBlank="true" errorStyle="stop" operator="between" showDropDown="false" showErrorMessage="false" showInputMessage="false" sqref="O69" type="list">
      <formula1>"Colombia win,Draw,DR Congo win"</formula1>
      <formula2>0</formula2>
    </dataValidation>
    <dataValidation allowBlank="true" errorStyle="stop" operator="between" showDropDown="false" showErrorMessage="false" showInputMessage="false" sqref="O70" type="list">
      <formula1>"Portugal win,Draw,DR Congo win"</formula1>
      <formula2>0</formula2>
    </dataValidation>
    <dataValidation allowBlank="true" errorStyle="stop" operator="between" showDropDown="false" showErrorMessage="false" showInputMessage="false" sqref="O71" type="list">
      <formula1>"Colombia win,Draw,Uzbekistan win"</formula1>
      <formula2>0</formula2>
    </dataValidation>
    <dataValidation allowBlank="true" errorStyle="stop" operator="between" showDropDown="false" showErrorMessage="false" showInputMessage="false" sqref="O72" type="list">
      <formula1>"England win,Draw,Croatia win"</formula1>
      <formula2>0</formula2>
    </dataValidation>
    <dataValidation allowBlank="true" errorStyle="stop" operator="between" showDropDown="false" showErrorMessage="false" showInputMessage="false" sqref="O73" type="list">
      <formula1>"Panama win,Draw,Ghana win"</formula1>
      <formula2>0</formula2>
    </dataValidation>
    <dataValidation allowBlank="true" errorStyle="stop" operator="between" showDropDown="false" showErrorMessage="false" showInputMessage="false" sqref="O74" type="list">
      <formula1>"England win,Draw,Panama win"</formula1>
      <formula2>0</formula2>
    </dataValidation>
    <dataValidation allowBlank="true" errorStyle="stop" operator="between" showDropDown="false" showErrorMessage="false" showInputMessage="false" sqref="O75" type="list">
      <formula1>"Croatia win,Draw,Ghana win"</formula1>
      <formula2>0</formula2>
    </dataValidation>
    <dataValidation allowBlank="true" errorStyle="stop" operator="between" showDropDown="false" showErrorMessage="false" showInputMessage="false" sqref="O76" type="list">
      <formula1>"England win,Draw,Ghana win"</formula1>
      <formula2>0</formula2>
    </dataValidation>
    <dataValidation allowBlank="true" errorStyle="stop" operator="between" showDropDown="false" showErrorMessage="false" showInputMessage="false" sqref="O77" type="list">
      <formula1>"Croatia win,Draw,Panama win"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B66840-981F-42EB-A350-151DAE77673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I6:I77</xm:sqref>
        </x14:conditionalFormatting>
        <x14:conditionalFormatting xmlns:xm="http://schemas.microsoft.com/office/excel/2006/main">
          <x14:cfRule type="dataBar" id="{D56910A0-FD90-46CB-984B-3A2DDD9E857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5B6"/>
              <x14:axisColor rgb="FF000000"/>
            </x14:dataBar>
          </x14:cfRule>
          <xm:sqref>K6:K77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2026-05-31T19:03:46Z</dcterms:created>
  <dc:creator>openpyxl</dc:creator>
  <dc:description/>
  <dc:language>en-US</dc:language>
  <cp:lastModifiedBy/>
  <dcterms:modified xsi:type="dcterms:W3CDTF">2026-06-14T17:46:26Z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